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Dashboard" state="visible" r:id="rId5"/>
    <sheet sheetId="3" name="Weekly Report" state="visible" r:id="rId6"/>
    <sheet sheetId="4" name="SOP Library" state="visible" r:id="rId7"/>
    <sheet sheetId="5" name="SOP-01 Inbox" state="visible" r:id="rId8"/>
    <sheet sheetId="6" name="SOP-02 Meetings" state="visible" r:id="rId9"/>
    <sheet sheetId="7" name="SOP-03 Onboarding" state="visible" r:id="rId10"/>
    <sheet sheetId="8" name="SOP-04 AR Follow-up" state="visible" r:id="rId11"/>
    <sheet sheetId="9" name="SOP-05 Webinars &amp; CPD" state="visible" r:id="rId12"/>
    <sheet sheetId="10" name="Task Tracker" state="visible" r:id="rId13"/>
    <sheet sheetId="11" name="AR Tracker" state="visible" r:id="rId14"/>
    <sheet sheetId="12" name="CRM Pipeline" state="visible" r:id="rId15"/>
    <sheet sheetId="13" name="Meeting Actions" state="visible" r:id="rId16"/>
    <sheet sheetId="14" name="Event &amp; CPD Tracker" state="visible" r:id="rId17"/>
    <sheet sheetId="15" name="Onboarding Tracker" state="visible" r:id="rId18"/>
    <sheet sheetId="16" name="Travel Planner" state="visible" r:id="rId19"/>
    <sheet sheetId="17" name="Research Brief" state="visible" r:id="rId20"/>
    <sheet sheetId="18" name="Tool Evaluation" state="visible" r:id="rId21"/>
    <sheet sheetId="19" name="Workflow Maps" state="visible" r:id="rId22"/>
    <sheet sheetId="20" name="RACI Matrix" state="visible" r:id="rId23"/>
    <sheet sheetId="21" name="Lists" state="visible" r:id="rId24"/>
  </sheets>
  <definedNames>
    <definedName name="AsOfDate">'Start Here'!$D$9</definedName>
  </definedNames>
  <calcPr calcId="171027" fullCalcOnLoad="1"/>
</workbook>
</file>

<file path=xl/sharedStrings.xml><?xml version="1.0" encoding="utf-8"?>
<sst xmlns="http://schemas.openxmlformats.org/spreadsheetml/2006/main" count="1696" uniqueCount="1002">
  <si>
    <t>EA Operations Toolkit</t>
  </si>
  <si>
    <t>Prepared by Alliah (Ali) Puchero · Executive Assistant · Version 1.0 · October 2026</t>
  </si>
  <si>
    <t>A working set of the systems I use to support executives and small teams: standard operating procedures, trackers, research, workflow maps and reporting. Every tracker feeds the Dashboard and the Weekly Report automatically, so the numbers stay in sync as the work changes.</t>
  </si>
  <si>
    <t>Settings</t>
  </si>
  <si>
    <t>As-of date</t>
  </si>
  <si>
    <t>Every tracker measures “overdue”, “days left” and follow-up dates from this date. For live use, replace it with =TODAY().</t>
  </si>
  <si>
    <t>How to read this workbook</t>
  </si>
  <si>
    <t>Type here</t>
  </si>
  <si>
    <t>White cells are inputs: type, paste or choose from the drop-down list.</t>
  </si>
  <si>
    <t>Calculated</t>
  </si>
  <si>
    <t>Grey cells contain formulas and update automatically. Please don’t type over them.</t>
  </si>
  <si>
    <t>Header</t>
  </si>
  <si>
    <t>Burgundy rows are column headers. Most tables have filters, frozen headers and drop-downs.</t>
  </si>
  <si>
    <t>Contents</t>
  </si>
  <si>
    <t>#</t>
  </si>
  <si>
    <t>Tab</t>
  </si>
  <si>
    <t>Type</t>
  </si>
  <si>
    <t>What it’s for</t>
  </si>
  <si>
    <t>Dashboard</t>
  </si>
  <si>
    <t>Report</t>
  </si>
  <si>
    <t>A live dashboard: 16 KPIs across tasks, receivables, pipeline, meetings, events and onboarding, plus a “needs attention” list.</t>
  </si>
  <si>
    <t>Weekly Report</t>
  </si>
  <si>
    <t>A one-page weekly status report for the executive. Metrics pull live from the Dashboard; highlights and decisions are written each Friday.</t>
  </si>
  <si>
    <t>SOP Library</t>
  </si>
  <si>
    <t>SOP</t>
  </si>
  <si>
    <t>A register of every SOP with owner, version and an automatic review schedule.</t>
  </si>
  <si>
    <t>SOP-01 Inbox</t>
  </si>
  <si>
    <t>How I triage an executive’s inbox twice a day: folders, flags, response times and the hand-off summary.</t>
  </si>
  <si>
    <t>SOP-02 Meetings</t>
  </si>
  <si>
    <t>Scheduling, confirmations, agendas, notes and action items, from invite to follow-up.</t>
  </si>
  <si>
    <t>SOP-03 Onboarding</t>
  </si>
  <si>
    <t>An eight-step onboarding checklist from signed engagement to kick-off call, tracked per client.</t>
  </si>
  <si>
    <t>SOP-04 AR Follow-up</t>
  </si>
  <si>
    <t>The weekly invoice follow-up routine in Xero: aging review, staged reminders, call script and record-keeping.</t>
  </si>
  <si>
    <t>SOP-05 Webinars &amp; CPD</t>
  </si>
  <si>
    <t>Running a CPD webinar end to end: registrations, reminders, attendance and camera compliance, certificates.</t>
  </si>
  <si>
    <t>Task Tracker</t>
  </si>
  <si>
    <t>Tracker</t>
  </si>
  <si>
    <t>Every request with owner, priority, due date and an automatic health flag (On track / Due soon / Overdue / Done).</t>
  </si>
  <si>
    <t>AR Tracker</t>
  </si>
  <si>
    <t>Invoices with automatic due dates, aging buckets, follow-up stage (Reminder 1 → escalation) and next action date, plus an aging summary.</t>
  </si>
  <si>
    <t>CRM Pipeline</t>
  </si>
  <si>
    <t>Leads by stage with probability looked up from the stage table, weighted value, days since contact and a follow-up flag.</t>
  </si>
  <si>
    <t>Meeting Actions</t>
  </si>
  <si>
    <t>Decisions and action items from each meeting, with owner, due date and an automatic overdue flag.</t>
  </si>
  <si>
    <t>Event &amp; CPD Tracker</t>
  </si>
  <si>
    <t>Registration through certification for a CPD webinar: thresholds are inputs; attendance %, eligibility and next action are calculated.</t>
  </si>
  <si>
    <t>Onboarding Tracker</t>
  </si>
  <si>
    <t>Eight-step onboarding checklist per client with completion %, status, days in onboarding and the next outstanding step.</t>
  </si>
  <si>
    <t>Travel Planner</t>
  </si>
  <si>
    <t>A three-day trip itinerary with confirmations and costs, plus a budget check by category.</t>
  </si>
  <si>
    <t>Research Brief</t>
  </si>
  <si>
    <t>Research</t>
  </si>
  <si>
    <t>A one-page research brief: objective, questions, method, sources and a recommendation linked live to the evaluation scores.</t>
  </si>
  <si>
    <t>Tool Evaluation</t>
  </si>
  <si>
    <t>A weighted decision matrix with adjustable weights, automatic ranking and a recommendation that updates as scores change.</t>
  </si>
  <si>
    <t>Workflow Maps</t>
  </si>
  <si>
    <t>Workflow</t>
  </si>
  <si>
    <t>Four recurring workflows mapped step by step: trigger, action, tool, owner, time standard and output.</t>
  </si>
  <si>
    <t>RACI Matrix</t>
  </si>
  <si>
    <t>Roles and responsibilities for 12 recurring activities, with a built-in check that every row has exactly one accountable owner.</t>
  </si>
  <si>
    <t>All clients, people, invoices, leads and figures in this workbook are fictitious placeholders created to demonstrate these systems. Any resemblance to real organisations is coincidental.</t>
  </si>
  <si>
    <t>Operations Dashboard</t>
  </si>
  <si>
    <t>Tasks</t>
  </si>
  <si>
    <t>Open tasks</t>
  </si>
  <si>
    <t>Overdue</t>
  </si>
  <si>
    <t>Due within 3 days</t>
  </si>
  <si>
    <t>Completion rate</t>
  </si>
  <si>
    <t>Accounts receivable</t>
  </si>
  <si>
    <t>Total outstanding</t>
  </si>
  <si>
    <t>Overdue amount</t>
  </si>
  <si>
    <t>% of balance overdue</t>
  </si>
  <si>
    <t>Follow-ups due now</t>
  </si>
  <si>
    <t>Pipeline</t>
  </si>
  <si>
    <t>Open leads</t>
  </si>
  <si>
    <t>Weighted pipeline</t>
  </si>
  <si>
    <t>Won (monthly value)</t>
  </si>
  <si>
    <t>Follow-ups due / overdue</t>
  </si>
  <si>
    <t>Meetings, events &amp; onboarding</t>
  </si>
  <si>
    <t>Open meeting actions</t>
  </si>
  <si>
    <t>Overdue actions</t>
  </si>
  <si>
    <t>Webinar attendance rate</t>
  </si>
  <si>
    <t>Avg onboarding completion</t>
  </si>
  <si>
    <t>Needs attention</t>
  </si>
  <si>
    <t>Item</t>
  </si>
  <si>
    <t>Count</t>
  </si>
  <si>
    <t>Where</t>
  </si>
  <si>
    <t>Overdue tasks</t>
  </si>
  <si>
    <t>Go to Task Tracker ›</t>
  </si>
  <si>
    <t>Invoices to escalate (45+ days)</t>
  </si>
  <si>
    <t>Go to AR Tracker ›</t>
  </si>
  <si>
    <t>Leads with overdue follow-up</t>
  </si>
  <si>
    <t>Go to CRM Pipeline ›</t>
  </si>
  <si>
    <t>CPD certificates to send</t>
  </si>
  <si>
    <t>Go to Event &amp; CPD Tracker ›</t>
  </si>
  <si>
    <t>SOPs overdue or due for review</t>
  </si>
  <si>
    <t>Go to SOP Library ›</t>
  </si>
  <si>
    <t>Travel items not yet confirmed</t>
  </si>
  <si>
    <t>Go to Travel Planner ›</t>
  </si>
  <si>
    <t>Weekly Executive Support Report</t>
  </si>
  <si>
    <t>Snapshot</t>
  </si>
  <si>
    <t>Metric</t>
  </si>
  <si>
    <t>This week</t>
  </si>
  <si>
    <t>Comment</t>
  </si>
  <si>
    <t>Includes 2 items waiting on others.</t>
  </si>
  <si>
    <t>Brightwell letter, SOP-05 review and catering numbers: all chased today.</t>
  </si>
  <si>
    <t>Includes 4 invoices that are not yet due.</t>
  </si>
  <si>
    <t>Two accounts escalated to Finance on 27 Oct.</t>
  </si>
  <si>
    <t>Westfield v2 proposal due 31 Oct.</t>
  </si>
  <si>
    <t>Owners reminded on Thursday.</t>
  </si>
  <si>
    <t>Session 3 certificates going out by 3 Nov.</t>
  </si>
  <si>
    <t>Westfield onboarding started 30 Oct.</t>
  </si>
  <si>
    <t>Highlights</t>
  </si>
  <si>
    <t>•  Q4 board pack outline approved; financial summary due 2 Nov.</t>
  </si>
  <si>
    <t>•  Sydney trip booked; client dinner, one meeting and the airport taxi still to confirm.</t>
  </si>
  <si>
    <t>•  Pinecrest fully onboarded; Bayview at 7 of 8 steps (tool access pending).</t>
  </si>
  <si>
    <t>•  PM tool research delivered; 14-day trial approved.</t>
  </si>
  <si>
    <t>Needs your decision</t>
  </si>
  <si>
    <t>•  Approve revised Westfield scope before it goes to the client.</t>
  </si>
  <si>
    <t>•  Confirm attendees for the 14 Nov planning day.</t>
  </si>
  <si>
    <t>Priorities next week</t>
  </si>
  <si>
    <t>•  Finalise and send the board pack.</t>
  </si>
  <si>
    <t>•  Issue Session 3 CPD certificates.</t>
  </si>
  <si>
    <t>•  Follow up overdue leads and invoices.</t>
  </si>
  <si>
    <t>•  Set up the PM tool trial workspace.</t>
  </si>
  <si>
    <t>Register of standard operating procedures with review dates. Status updates automatically from the as-of date.</t>
  </si>
  <si>
    <t>SOP ID</t>
  </si>
  <si>
    <t>Title</t>
  </si>
  <si>
    <t>Category</t>
  </si>
  <si>
    <t>Owner</t>
  </si>
  <si>
    <t>Version</t>
  </si>
  <si>
    <t>Last reviewed</t>
  </si>
  <si>
    <t>Review cycle (months)</t>
  </si>
  <si>
    <t>Next review</t>
  </si>
  <si>
    <t>Days to review</t>
  </si>
  <si>
    <t>Status</t>
  </si>
  <si>
    <t>Open</t>
  </si>
  <si>
    <t>SOP-01</t>
  </si>
  <si>
    <t>Executive Inbox Management</t>
  </si>
  <si>
    <t>Executive support</t>
  </si>
  <si>
    <t>Ali Puchero (EA)</t>
  </si>
  <si>
    <t>1.2</t>
  </si>
  <si>
    <t>Open SOP-01 ›</t>
  </si>
  <si>
    <t>SOP-02</t>
  </si>
  <si>
    <t>Calendar &amp; Meeting Coordination</t>
  </si>
  <si>
    <t>1.1</t>
  </si>
  <si>
    <t>Open SOP-02 ›</t>
  </si>
  <si>
    <t>SOP-03</t>
  </si>
  <si>
    <t>New Client Onboarding</t>
  </si>
  <si>
    <t>Client operations</t>
  </si>
  <si>
    <t>1.0</t>
  </si>
  <si>
    <t>Open SOP-03 ›</t>
  </si>
  <si>
    <t>SOP-04</t>
  </si>
  <si>
    <t>Accounts Receivable Follow-up (Xero)</t>
  </si>
  <si>
    <t>Accounting admin</t>
  </si>
  <si>
    <t>1.3</t>
  </si>
  <si>
    <t>Open SOP-04 ›</t>
  </si>
  <si>
    <t>SOP-05</t>
  </si>
  <si>
    <t>Webinar Delivery &amp; CPD Attendance</t>
  </si>
  <si>
    <t>Events &amp; training</t>
  </si>
  <si>
    <t>Open SOP-05 ›</t>
  </si>
  <si>
    <t>SOP-01 · Executive Inbox Management</t>
  </si>
  <si>
    <t>Standard operating procedure · written and maintained by Alliah (Ali) Puchero</t>
  </si>
  <si>
    <t>Purpose</t>
  </si>
  <si>
    <t>Keep the executive’s inbox at a manageable level so urgent and client emails are actioned the same day and nothing important is missed.</t>
  </si>
  <si>
    <t>Scope</t>
  </si>
  <si>
    <t>The executive’s main mailbox and shared client mailbox. Excludes HR-confidential folders unless delegated in writing.</t>
  </si>
  <si>
    <t>Trigger / frequency</t>
  </si>
  <si>
    <t>Twice daily: 8:00 AM and 3:30 PM (executive’s time zone), plus a quick scan before end of day.</t>
  </si>
  <si>
    <t>Executive Assistant (Ali Puchero)</t>
  </si>
  <si>
    <t>Tools</t>
  </si>
  <si>
    <t>Outlook / Gmail, Microsoft Teams or Slack, Task Tracker tab</t>
  </si>
  <si>
    <t>Time standard</t>
  </si>
  <si>
    <t>Client emails acknowledged within 4 business hours; internal within 1 business day.</t>
  </si>
  <si>
    <t>Procedure</t>
  </si>
  <si>
    <t>Step</t>
  </si>
  <si>
    <t>Phase</t>
  </si>
  <si>
    <t>Action</t>
  </si>
  <si>
    <t>Standard / detail</t>
  </si>
  <si>
    <t>Tool</t>
  </si>
  <si>
    <t>Output / check</t>
  </si>
  <si>
    <t>Prepare</t>
  </si>
  <si>
    <t>Open the mailbox in Focused / Priority view</t>
  </si>
  <si>
    <t>Sort by date, newest first. Check flagged items carried over from the last session.</t>
  </si>
  <si>
    <t>Outlook</t>
  </si>
  <si>
    <t>Starting view ready</t>
  </si>
  <si>
    <t>Triage</t>
  </si>
  <si>
    <t>Apply the 4D rule to every new email</t>
  </si>
  <si>
    <t>Do (under 2 min), Delegate, Defer (schedule it), Delete / archive. Touch each email once.</t>
  </si>
  <si>
    <t>Inbox shows only open items</t>
  </si>
  <si>
    <t>File into the folder structure</t>
  </si>
  <si>
    <t>Clients › [Client name]; Internal › Operations / Finance / HR; Projects; Vendors; Newsletters; Receipts.</t>
  </si>
  <si>
    <t>Outlook rules + folders</t>
  </si>
  <si>
    <t>Correct folder, consistent naming</t>
  </si>
  <si>
    <t>Draft or send routine replies</t>
  </si>
  <si>
    <t>Use the approved templates. Drafts that need the executive’s voice go to Drafts with “FOR REVIEW” in the subject.</t>
  </si>
  <si>
    <t>Outlook templates</t>
  </si>
  <si>
    <t>Replies sent / drafts queued</t>
  </si>
  <si>
    <t>Convert requests into tasks</t>
  </si>
  <si>
    <t>Anything taking more than 2 minutes becomes a task with an owner, due date and link to the email.</t>
  </si>
  <si>
    <t>Task logged with due date</t>
  </si>
  <si>
    <t>Add meetings and deadlines to the calendar</t>
  </si>
  <si>
    <t>Accept / propose times per the executive’s preferences; add prep blocks before important meetings.</t>
  </si>
  <si>
    <t>Outlook Calendar</t>
  </si>
  <si>
    <t>Calendar updated</t>
  </si>
  <si>
    <t>Communicate</t>
  </si>
  <si>
    <t>Send the executive a short summary</t>
  </si>
  <si>
    <t>Three headings: Needs your decision · FYI · Done for you. Max 10 lines.</t>
  </si>
  <si>
    <t>Teams / Slack</t>
  </si>
  <si>
    <t>Summary sent</t>
  </si>
  <si>
    <t>Close</t>
  </si>
  <si>
    <t>End-of-day sweep</t>
  </si>
  <si>
    <t>Confirm all client emails were acknowledged; carry over flagged items to the next session.</t>
  </si>
  <si>
    <t>Inbox under 15 open items</t>
  </si>
  <si>
    <t>Quality checks</t>
  </si>
  <si>
    <t>•</t>
  </si>
  <si>
    <t>No client email older than 4 business hours without an acknowledgement.</t>
  </si>
  <si>
    <t>Every flagged email has a matching task or calendar entry.</t>
  </si>
  <si>
    <t>Attachments with sensitive data (IDs, bank details) are saved to the secure folder and not forwarded.</t>
  </si>
  <si>
    <t>When to escalate</t>
  </si>
  <si>
    <t>Legal, complaint or payment-dispute emails: forward to the executive immediately and flag red.</t>
  </si>
  <si>
    <t>Anything mentioning a deadline within 24 hours that I cannot action myself.</t>
  </si>
  <si>
    <t>Templates</t>
  </si>
  <si>
    <t>Acknowledgement</t>
  </si>
  <si>
    <t xml:space="preserve">Hi [Name],
Thank you for your email. I’ve passed this to [Executive] and will come back to you by [day/time] with an update.
Kind regards,
Ali Puchero | Executive Assistant</t>
  </si>
  <si>
    <t>Summary to executive</t>
  </si>
  <si>
    <t xml:space="preserve">NEEDS YOUR DECISION: …
FYI: …
DONE FOR YOU: …</t>
  </si>
  <si>
    <t>Revision history</t>
  </si>
  <si>
    <t>Date</t>
  </si>
  <si>
    <t>Change</t>
  </si>
  <si>
    <t>Approved by</t>
  </si>
  <si>
    <t>First version</t>
  </si>
  <si>
    <t>CEO</t>
  </si>
  <si>
    <t>Added folder structure and 4D rule</t>
  </si>
  <si>
    <t>Added end-of-day sweep and templates</t>
  </si>
  <si>
    <t>SOP-02 · Calendar &amp; Meeting Coordination</t>
  </si>
  <si>
    <t>Make every meeting the executive attends well-timed, prepared and followed through, with actions captured and owned.</t>
  </si>
  <si>
    <t>Internal, client and board meetings on the executive’s calendar, in person or online.</t>
  </si>
  <si>
    <t>Any meeting request; weekly calendar review every Friday afternoon.</t>
  </si>
  <si>
    <t>Outlook / Google Calendar, Zoom, MS Teams, Google Meet, Notion, Meeting Actions tab</t>
  </si>
  <si>
    <t>Invites sent within 1 business day of request; notes and actions circulated within 24 hours of the meeting.</t>
  </si>
  <si>
    <t>Plan</t>
  </si>
  <si>
    <t>Confirm purpose, attendees, duration and format</t>
  </si>
  <si>
    <t>Check the executive’s preferences: no meetings before 9:00, 15-minute buffers, focus blocks protected.</t>
  </si>
  <si>
    <t>Calendar</t>
  </si>
  <si>
    <t>Meeting brief agreed</t>
  </si>
  <si>
    <t>Schedule</t>
  </si>
  <si>
    <t>Find a time and send the invite</t>
  </si>
  <si>
    <t>Offer 2–3 options across time zones; include agenda, platform link and dial-in in the invite.</t>
  </si>
  <si>
    <t>Calendly / Outlook</t>
  </si>
  <si>
    <t>Invite sent</t>
  </si>
  <si>
    <t>Confirm attendance 48 hours before</t>
  </si>
  <si>
    <t>Chase non-responses; update status to Confirmed or To Confirm.</t>
  </si>
  <si>
    <t>Email / Notion</t>
  </si>
  <si>
    <t>Attendance confirmed</t>
  </si>
  <si>
    <t>Assemble the meeting pack</t>
  </si>
  <si>
    <t>Agenda, previous actions, decks and data, saved in the meeting’s folder and linked in the invite.</t>
  </si>
  <si>
    <t>Google Drive / OneDrive</t>
  </si>
  <si>
    <t>Pack shared 24 h before</t>
  </si>
  <si>
    <t>Run</t>
  </si>
  <si>
    <t>Take notes during the meeting</t>
  </si>
  <si>
    <t>Capture decisions, owners and due dates using the notes template.</t>
  </si>
  <si>
    <t>Notion / Word</t>
  </si>
  <si>
    <t>Notes drafted</t>
  </si>
  <si>
    <t>Follow up</t>
  </si>
  <si>
    <t>Circulate notes and log actions</t>
  </si>
  <si>
    <t>Send notes within 24 hours; log each action in Meeting Actions with owner and due date.</t>
  </si>
  <si>
    <t>Email + Meeting Actions</t>
  </si>
  <si>
    <t>Actions tracked</t>
  </si>
  <si>
    <t>Chase open actions</t>
  </si>
  <si>
    <t>Review open actions every Monday; remind owners 2 days before due dates.</t>
  </si>
  <si>
    <t>Overdue actions = 0</t>
  </si>
  <si>
    <t>Every external meeting has a link, a dial-in and the correct time zone in the invite.</t>
  </si>
  <si>
    <t>No back-to-back meetings over 2 hours without a break.</t>
  </si>
  <si>
    <t>Every action has one owner and a due date.</t>
  </si>
  <si>
    <t>Clashes involving board, investor or client meetings: ask the executive before moving anything.</t>
  </si>
  <si>
    <t>Invite text</t>
  </si>
  <si>
    <t xml:space="preserve">Purpose: …
Agenda: 1) … 2) … 3) …
Pre-read: [link]
Join: [Zoom / Teams link] · Meeting ID … · Passcode …</t>
  </si>
  <si>
    <t>Added 48-hour confirmation step</t>
  </si>
  <si>
    <t>SOP-03 · New Client Onboarding</t>
  </si>
  <si>
    <t>Give every new client a consistent, professional first experience and make sure their records are complete before work begins.</t>
  </si>
  <si>
    <t>All new clients from signed proposal to kick-off call.</t>
  </si>
  <si>
    <t>Proposal marked Won in the CRM.</t>
  </si>
  <si>
    <t>GoHighLevel / HubSpot CRM, Xero, Google Drive, email, Onboarding Tracker tab</t>
  </si>
  <si>
    <t>Welcome email same day; onboarding complete within 10 business days.</t>
  </si>
  <si>
    <t>Welcome</t>
  </si>
  <si>
    <t>Send the welcome email and onboarding pack</t>
  </si>
  <si>
    <t>Personalise the template; attach engagement letter and client information form.</t>
  </si>
  <si>
    <t>Email</t>
  </si>
  <si>
    <t>Welcome email sent</t>
  </si>
  <si>
    <t>Documents</t>
  </si>
  <si>
    <t>Collect the signed engagement letter</t>
  </si>
  <si>
    <t>Chase after 3 business days; save the signed copy as “[Client] – Engagement Letter – [date]”.</t>
  </si>
  <si>
    <t>Email / e-signature</t>
  </si>
  <si>
    <t>Signed letter on file</t>
  </si>
  <si>
    <t>Collect identification (where required)</t>
  </si>
  <si>
    <t>Request securely; never by plain email reply. Record the ID check date.</t>
  </si>
  <si>
    <t>Secure upload</t>
  </si>
  <si>
    <t>ID verified</t>
  </si>
  <si>
    <t>Systems</t>
  </si>
  <si>
    <t>Create / update the CRM record</t>
  </si>
  <si>
    <t>Contact details, service, stage “Won”, account owner and next step.</t>
  </si>
  <si>
    <t>CRM</t>
  </si>
  <si>
    <t>CRM record complete</t>
  </si>
  <si>
    <t>Create the client contact in Xero</t>
  </si>
  <si>
    <t>Billing contact, payment terms and invoice email address.</t>
  </si>
  <si>
    <t>Xero</t>
  </si>
  <si>
    <t>Xero contact ready</t>
  </si>
  <si>
    <t>Set up the client folder</t>
  </si>
  <si>
    <t>Standard structure: 01 Admin · 02 Correspondence · 03 Working files · 04 Deliverables.</t>
  </si>
  <si>
    <t>Google Drive</t>
  </si>
  <si>
    <t>Folder shared</t>
  </si>
  <si>
    <t>Kick-off</t>
  </si>
  <si>
    <t>Book the kick-off call</t>
  </si>
  <si>
    <t>Offer three times; include agenda and attendee list.</t>
  </si>
  <si>
    <t>Calendly</t>
  </si>
  <si>
    <t>Kick-off booked</t>
  </si>
  <si>
    <t>Grant tool access and confirm</t>
  </si>
  <si>
    <t>Invite the client to shared tools; confirm they can log in before the call.</t>
  </si>
  <si>
    <t>Various</t>
  </si>
  <si>
    <t>Access confirmed</t>
  </si>
  <si>
    <t>Onboarding Tracker shows 100% before any billable work starts.</t>
  </si>
  <si>
    <t>Client name spelled identically in CRM, Xero and folder name.</t>
  </si>
  <si>
    <t>Engagement letter unsigned after 7 business days: inform the account manager.</t>
  </si>
  <si>
    <t>ID documents that look altered or expired.</t>
  </si>
  <si>
    <t>Operations Manager</t>
  </si>
  <si>
    <t>SOP-04 · Accounts Receivable Follow-up (Xero)</t>
  </si>
  <si>
    <t>Reduce overdue invoices through consistent, polite and well-documented follow-up, while protecting client relationships.</t>
  </si>
  <si>
    <t>All open customer invoices in Xero. Excludes invoices under formal dispute (handled by Finance).</t>
  </si>
  <si>
    <t>Every Monday and Thursday morning.</t>
  </si>
  <si>
    <t>Xero (Aged Receivables report, invoice reminders), email, phone, AR Tracker tab</t>
  </si>
  <si>
    <t>Every overdue invoice has a logged contact within the last 7 days.</t>
  </si>
  <si>
    <t>Review</t>
  </si>
  <si>
    <t>Run the Aged Receivables report in Xero</t>
  </si>
  <si>
    <t>Report date = today; group by contact. Export or update the AR Tracker.</t>
  </si>
  <si>
    <t>Aging list current</t>
  </si>
  <si>
    <t>Check for payments not yet reconciled</t>
  </si>
  <si>
    <t>Look at bank feed lines and remittance emails before chasing anyone.</t>
  </si>
  <si>
    <t>Xero bank feed</t>
  </si>
  <si>
    <t>No client chased for a paid invoice</t>
  </si>
  <si>
    <t>1–7 days overdue: friendly reminder</t>
  </si>
  <si>
    <t>Template “Reminder 1”, invoice attached, payment link included.</t>
  </si>
  <si>
    <t>Email / Xero</t>
  </si>
  <si>
    <t>Reminder 1 sent</t>
  </si>
  <si>
    <t>8–21 days overdue: firm reminder</t>
  </si>
  <si>
    <t>Template “Reminder 2”; ask for an expected payment date.</t>
  </si>
  <si>
    <t>Payment date requested</t>
  </si>
  <si>
    <t>22–45 days overdue: phone call</t>
  </si>
  <si>
    <t>Use the call script; log the promised date and the person spoken to.</t>
  </si>
  <si>
    <t>Phone</t>
  </si>
  <si>
    <t>Call logged</t>
  </si>
  <si>
    <t>Escalate</t>
  </si>
  <si>
    <t>Over 45 days: escalate to the manager</t>
  </si>
  <si>
    <t>Summarise the history (dates, contacts, promises) in one email.</t>
  </si>
  <si>
    <t>Escalation sent</t>
  </si>
  <si>
    <t>Record</t>
  </si>
  <si>
    <t>Update the tracker and Xero notes</t>
  </si>
  <si>
    <t>Last contact date, stage, promised date and any part payments.</t>
  </si>
  <si>
    <t>AR Tracker + Xero history</t>
  </si>
  <si>
    <t>Records up to date</t>
  </si>
  <si>
    <t>Never send a reminder without checking for an unreconciled payment first.</t>
  </si>
  <si>
    <t>Tone stays courteous at every stage; no threats or fees unless approved by Finance.</t>
  </si>
  <si>
    <t>Promised payment dates are diarised and checked the following day.</t>
  </si>
  <si>
    <t>Client disputes the amount or the work: stop reminders and pass to Finance the same day.</t>
  </si>
  <si>
    <t>Any invoice over 45 days or over $10,000 overdue.</t>
  </si>
  <si>
    <t>Reminder 1</t>
  </si>
  <si>
    <t xml:space="preserve">Hi [Name],
A quick reminder that invoice [#] for [$amount] was due on [date]. I’ve attached a copy for convenience. If it’s already been paid, thank you, and please disregard this note.
Kind regards, Ali</t>
  </si>
  <si>
    <t>Reminder 2</t>
  </si>
  <si>
    <t xml:space="preserve">Hi [Name],
Invoice [#] for [$amount] is now [x] days overdue. Could you let me know when we can expect payment? I’m happy to resend anything you need.
Kind regards, Ali</t>
  </si>
  <si>
    <t>Call script</t>
  </si>
  <si>
    <t>Introduce yourself → confirm the invoice was received → ask if anything is holding it up → agree a payment date → confirm by email the same day.</t>
  </si>
  <si>
    <t>Finance Lead</t>
  </si>
  <si>
    <t>Added unreconciled-payment check</t>
  </si>
  <si>
    <t>Updated stage thresholds and call script</t>
  </si>
  <si>
    <t>SOP-05 · Webinar Delivery &amp; CPD Attendance</t>
  </si>
  <si>
    <t>Deliver training webinars smoothly and keep accurate attendance records so CPD certificates are issued only to eligible attendees.</t>
  </si>
  <si>
    <t>All live training sessions that carry CPD credit.</t>
  </si>
  <si>
    <t>Each scheduled training session (registration opens 3 weeks before).</t>
  </si>
  <si>
    <t>Zoom (registration + attendance report), GoHighLevel, Canva (certificates), MS Excel, Event &amp; CPD Tracker tab</t>
  </si>
  <si>
    <t>Certificates issued within 3 business days of the session.</t>
  </si>
  <si>
    <t>Before</t>
  </si>
  <si>
    <t>Open registration and confirm each registrant</t>
  </si>
  <si>
    <t>Confirmation email with date, time zone, joining link and CPD requirements.</t>
  </si>
  <si>
    <t>Zoom / GHL</t>
  </si>
  <si>
    <t>Confirmation sent</t>
  </si>
  <si>
    <t>Send reminders</t>
  </si>
  <si>
    <t>7 days, 1 day and 1 hour before. Remind attendees that cameras must stay on for CPD.</t>
  </si>
  <si>
    <t>GHL automation</t>
  </si>
  <si>
    <t>Reminders sent</t>
  </si>
  <si>
    <t>During</t>
  </si>
  <si>
    <t>Host support and spot-checks</t>
  </si>
  <si>
    <t>Admit attendees, manage chat, record camera-on spot checks every 15 minutes.</t>
  </si>
  <si>
    <t>Zoom</t>
  </si>
  <si>
    <t>Spot-check log</t>
  </si>
  <si>
    <t>After</t>
  </si>
  <si>
    <t>Download the attendance report</t>
  </si>
  <si>
    <t>Minutes attended per person; match to registrations by email address.</t>
  </si>
  <si>
    <t>Zoom report</t>
  </si>
  <si>
    <t>Tracker updated</t>
  </si>
  <si>
    <t>Assess CPD eligibility</t>
  </si>
  <si>
    <t>Eligible = attended ≥ minimum % and camera-on ≥ requirement (set in the tracker).</t>
  </si>
  <si>
    <t>Eligibility list</t>
  </si>
  <si>
    <t>Issue certificates and follow-ups</t>
  </si>
  <si>
    <t>Certificates to eligible attendees; recording and rebooking options to others.</t>
  </si>
  <si>
    <t>Canva / email</t>
  </si>
  <si>
    <t>Certificates sent</t>
  </si>
  <si>
    <t>Names on certificates match registration records exactly.</t>
  </si>
  <si>
    <t>Eligibility thresholds match the program’s published CPD rules.</t>
  </si>
  <si>
    <t>Attendee disputes their eligibility: share the attendance record and refer to the program lead.</t>
  </si>
  <si>
    <t>Program Lead</t>
  </si>
  <si>
    <t>Added camera-on spot checks</t>
  </si>
  <si>
    <t>Every request in one list, with priority, due date and an automatic health flag.</t>
  </si>
  <si>
    <t>ID</t>
  </si>
  <si>
    <t>Task</t>
  </si>
  <si>
    <t>Project / area</t>
  </si>
  <si>
    <t>Requested by</t>
  </si>
  <si>
    <t>Priority</t>
  </si>
  <si>
    <t>Start</t>
  </si>
  <si>
    <t>Due</t>
  </si>
  <si>
    <t>% complete</t>
  </si>
  <si>
    <t>Days left</t>
  </si>
  <si>
    <t>Health</t>
  </si>
  <si>
    <t>Notes</t>
  </si>
  <si>
    <t>T-001</t>
  </si>
  <si>
    <t>Prepare Q4 board pack (agenda, deck, financial summary)</t>
  </si>
  <si>
    <t>Board meeting</t>
  </si>
  <si>
    <t>Ali</t>
  </si>
  <si>
    <t>High</t>
  </si>
  <si>
    <t>In progress</t>
  </si>
  <si>
    <t>Finance summary due from Finance Lead on 2 Nov</t>
  </si>
  <si>
    <t>T-002</t>
  </si>
  <si>
    <t>Book flights and hotel for Sydney client visit</t>
  </si>
  <si>
    <t>Travel</t>
  </si>
  <si>
    <t>Completed</t>
  </si>
  <si>
    <t>See Travel Planner</t>
  </si>
  <si>
    <t>T-003</t>
  </si>
  <si>
    <t>Send onboarding pack to Harbourline Accounting</t>
  </si>
  <si>
    <t>Client onboarding</t>
  </si>
  <si>
    <t>Account Manager</t>
  </si>
  <si>
    <t/>
  </si>
  <si>
    <t>T-004</t>
  </si>
  <si>
    <t>Chase signed engagement letter: Brightwell Dental</t>
  </si>
  <si>
    <t>Waiting on others</t>
  </si>
  <si>
    <t>Reminder sent 27 Oct</t>
  </si>
  <si>
    <t>T-005</t>
  </si>
  <si>
    <t>Update CRM stages after pipeline meeting</t>
  </si>
  <si>
    <t>Sales Lead</t>
  </si>
  <si>
    <t>Medium</t>
  </si>
  <si>
    <t>T-006</t>
  </si>
  <si>
    <t>Reconcile AR tracker against Xero aged receivables</t>
  </si>
  <si>
    <t>T-007</t>
  </si>
  <si>
    <t>Draft SOP: Client offboarding</t>
  </si>
  <si>
    <t>Operations</t>
  </si>
  <si>
    <t>Outline approved</t>
  </si>
  <si>
    <t>T-008</t>
  </si>
  <si>
    <t>Review and update SOP-05 (Webinars &amp; CPD)</t>
  </si>
  <si>
    <t>Not started</t>
  </si>
  <si>
    <t>Review date passed</t>
  </si>
  <si>
    <t>T-009</t>
  </si>
  <si>
    <t>Schedule November 1:1s with team leads</t>
  </si>
  <si>
    <t>T-010</t>
  </si>
  <si>
    <t>Issue CPD certificates for Session 3</t>
  </si>
  <si>
    <t>Training program</t>
  </si>
  <si>
    <t>Waiting on 2 camera-log checks</t>
  </si>
  <si>
    <t>T-011</t>
  </si>
  <si>
    <t>Set up client folder: Kestrel Logistics</t>
  </si>
  <si>
    <t>Low</t>
  </si>
  <si>
    <t>T-012</t>
  </si>
  <si>
    <t>Monthly KPI report for October</t>
  </si>
  <si>
    <t>Reporting</t>
  </si>
  <si>
    <t>T-013</t>
  </si>
  <si>
    <t>Renew software subscriptions (Zoom, Canva)</t>
  </si>
  <si>
    <t>Admin</t>
  </si>
  <si>
    <t>T-014</t>
  </si>
  <si>
    <t>Compile research: project management tools</t>
  </si>
  <si>
    <t>See Research Brief</t>
  </si>
  <si>
    <t>T-015</t>
  </si>
  <si>
    <t>Prepare agenda: quarterly client review (Northgate)</t>
  </si>
  <si>
    <t>Meetings</t>
  </si>
  <si>
    <t>T-016</t>
  </si>
  <si>
    <t>Clean up duplicate contacts in CRM</t>
  </si>
  <si>
    <t>~40 duplicates found</t>
  </si>
  <si>
    <t>T-017</t>
  </si>
  <si>
    <t>Collect expense receipts for October</t>
  </si>
  <si>
    <t>T-018</t>
  </si>
  <si>
    <t>Confirm venue catering for team planning day</t>
  </si>
  <si>
    <t>Events</t>
  </si>
  <si>
    <t>Venue to confirm numbers</t>
  </si>
  <si>
    <t>Accounts Receivable Tracker</t>
  </si>
  <si>
    <t>Outstanding invoices with automatic aging, follow-up stage and next action date. Mirrors SOP-04.</t>
  </si>
  <si>
    <t>Invoice #</t>
  </si>
  <si>
    <t>Client</t>
  </si>
  <si>
    <t>Billing email</t>
  </si>
  <si>
    <t>Issue date</t>
  </si>
  <si>
    <t>Terms (days)</t>
  </si>
  <si>
    <t>Due date</t>
  </si>
  <si>
    <t>Amount</t>
  </si>
  <si>
    <t>Paid</t>
  </si>
  <si>
    <t>Balance</t>
  </si>
  <si>
    <t>Days overdue</t>
  </si>
  <si>
    <t>Aging bucket</t>
  </si>
  <si>
    <t>Last contact</t>
  </si>
  <si>
    <t>Follow-up stage</t>
  </si>
  <si>
    <t>Next action</t>
  </si>
  <si>
    <t>INV-1041</t>
  </si>
  <si>
    <t>Harbourline Accounting</t>
  </si>
  <si>
    <t>accounts@harbourlineacc.example.com</t>
  </si>
  <si>
    <t>INV-1042</t>
  </si>
  <si>
    <t>Northgate Advisory</t>
  </si>
  <si>
    <t>accounts@northgateadvis.example.com</t>
  </si>
  <si>
    <t>INV-1043</t>
  </si>
  <si>
    <t>Brightwell Dental</t>
  </si>
  <si>
    <t>accounts@brightwelldent.example.com</t>
  </si>
  <si>
    <t>INV-1044</t>
  </si>
  <si>
    <t>Kestrel Logistics</t>
  </si>
  <si>
    <t>accounts@kestrellogisti.example.com</t>
  </si>
  <si>
    <t>INV-1045</t>
  </si>
  <si>
    <t>Summit Property Group</t>
  </si>
  <si>
    <t>accounts@summitproperty.example.com</t>
  </si>
  <si>
    <t>INV-1046</t>
  </si>
  <si>
    <t>Oakridge Legal</t>
  </si>
  <si>
    <t>accounts@oakridgelegal.example.com</t>
  </si>
  <si>
    <t>INV-1047</t>
  </si>
  <si>
    <t>Bluefin Consulting</t>
  </si>
  <si>
    <t>accounts@bluefinconsult.example.com</t>
  </si>
  <si>
    <t>INV-1048</t>
  </si>
  <si>
    <t>Cedar &amp; Co. Bookkeeping</t>
  </si>
  <si>
    <t>accounts@cedarcobookkee.example.com</t>
  </si>
  <si>
    <t>INV-1049</t>
  </si>
  <si>
    <t>INV-1050</t>
  </si>
  <si>
    <t>INV-1051</t>
  </si>
  <si>
    <t>Riverstone Clinics</t>
  </si>
  <si>
    <t>accounts@riverstoneclin.example.com</t>
  </si>
  <si>
    <t>INV-1052</t>
  </si>
  <si>
    <t>INV-1053</t>
  </si>
  <si>
    <t>Pinecrest Builders</t>
  </si>
  <si>
    <t>accounts@pinecrestbuild.example.com</t>
  </si>
  <si>
    <t>INV-1054</t>
  </si>
  <si>
    <t>INV-1055</t>
  </si>
  <si>
    <t>INV-1056</t>
  </si>
  <si>
    <t>Aging summary</t>
  </si>
  <si>
    <t>Bucket</t>
  </si>
  <si>
    <t>Invoices</t>
  </si>
  <si>
    <t>Outstanding</t>
  </si>
  <si>
    <t>% of total</t>
  </si>
  <si>
    <t>Current</t>
  </si>
  <si>
    <t>1-30 days</t>
  </si>
  <si>
    <t>31-60 days</t>
  </si>
  <si>
    <t>61-90 days</t>
  </si>
  <si>
    <t>90+ days</t>
  </si>
  <si>
    <t>Leads by stage with weighted value and an automatic follow-up flag, so no opportunity goes quiet.</t>
  </si>
  <si>
    <t>Lead ID</t>
  </si>
  <si>
    <t>Company</t>
  </si>
  <si>
    <t>Contact (role)</t>
  </si>
  <si>
    <t>Source</t>
  </si>
  <si>
    <t>Service interest</t>
  </si>
  <si>
    <t>Stage</t>
  </si>
  <si>
    <t>Est. monthly value</t>
  </si>
  <si>
    <t>Probability</t>
  </si>
  <si>
    <t>Weighted value</t>
  </si>
  <si>
    <t>Next step</t>
  </si>
  <si>
    <t>Next step date</t>
  </si>
  <si>
    <t>Days since contact</t>
  </si>
  <si>
    <t>Follow-up flag</t>
  </si>
  <si>
    <t>L-101</t>
  </si>
  <si>
    <t>Director</t>
  </si>
  <si>
    <t>Referral</t>
  </si>
  <si>
    <t>Bookkeeping + payroll</t>
  </si>
  <si>
    <t>Won</t>
  </si>
  <si>
    <t>Onboarding started</t>
  </si>
  <si>
    <t>L-102</t>
  </si>
  <si>
    <t>Lumen Physio Group</t>
  </si>
  <si>
    <t>Practice Manager</t>
  </si>
  <si>
    <t>Website enquiry</t>
  </si>
  <si>
    <t>Monthly bookkeeping</t>
  </si>
  <si>
    <t>Proposal sent</t>
  </si>
  <si>
    <t>Follow up on proposal</t>
  </si>
  <si>
    <t>L-103</t>
  </si>
  <si>
    <t>Arbor Creative Studio</t>
  </si>
  <si>
    <t>Founder</t>
  </si>
  <si>
    <t>LinkedIn</t>
  </si>
  <si>
    <t>BAS + advisory</t>
  </si>
  <si>
    <t>Discovery call</t>
  </si>
  <si>
    <t>Send discovery notes + quote</t>
  </si>
  <si>
    <t>L-104</t>
  </si>
  <si>
    <t>Westfield Freight</t>
  </si>
  <si>
    <t>CFO</t>
  </si>
  <si>
    <t>Event</t>
  </si>
  <si>
    <t>AR outsourcing</t>
  </si>
  <si>
    <t>Negotiation</t>
  </si>
  <si>
    <t>Revise scope, send v2</t>
  </si>
  <si>
    <t>L-105</t>
  </si>
  <si>
    <t>Maple &amp; Stone Interiors</t>
  </si>
  <si>
    <t>Xero setup</t>
  </si>
  <si>
    <t>Contacted</t>
  </si>
  <si>
    <t>Book discovery call</t>
  </si>
  <si>
    <t>L-106</t>
  </si>
  <si>
    <t>Coastal Vet Clinic</t>
  </si>
  <si>
    <t>Practice Owner</t>
  </si>
  <si>
    <t>Payroll</t>
  </si>
  <si>
    <t>New lead</t>
  </si>
  <si>
    <t>Intro email</t>
  </si>
  <si>
    <t>L-107</t>
  </si>
  <si>
    <t>Granite Tech Pty Ltd</t>
  </si>
  <si>
    <t>COO</t>
  </si>
  <si>
    <t>Outreach</t>
  </si>
  <si>
    <t>Virtual CFO</t>
  </si>
  <si>
    <t>Check proposal received</t>
  </si>
  <si>
    <t>L-108</t>
  </si>
  <si>
    <t>Sunbeam Early Learning</t>
  </si>
  <si>
    <t>Centre Director</t>
  </si>
  <si>
    <t>Bookkeeping</t>
  </si>
  <si>
    <t>Confirm requirements</t>
  </si>
  <si>
    <t>L-109</t>
  </si>
  <si>
    <t>Harrow Legal</t>
  </si>
  <si>
    <t>Partner</t>
  </si>
  <si>
    <t>Trust accounting support</t>
  </si>
  <si>
    <t>Lost</t>
  </si>
  <si>
    <t>Closed: chose in-house</t>
  </si>
  <si>
    <t>L-110</t>
  </si>
  <si>
    <t>Ironbark Fitness</t>
  </si>
  <si>
    <t>Second follow-up</t>
  </si>
  <si>
    <t>L-111</t>
  </si>
  <si>
    <t>Northshore Dental</t>
  </si>
  <si>
    <t>Payroll + BAS</t>
  </si>
  <si>
    <t>Agree start date</t>
  </si>
  <si>
    <t>L-112</t>
  </si>
  <si>
    <t>Quill Publishing</t>
  </si>
  <si>
    <t>Managing Editor</t>
  </si>
  <si>
    <t>AR follow-up</t>
  </si>
  <si>
    <t>Qualify needs</t>
  </si>
  <si>
    <t>L-113</t>
  </si>
  <si>
    <t>Bayview Hotels</t>
  </si>
  <si>
    <t>Finance Manager</t>
  </si>
  <si>
    <t>Accounts payable</t>
  </si>
  <si>
    <t>L-114</t>
  </si>
  <si>
    <t>Redgum Plumbing</t>
  </si>
  <si>
    <t>Xero clean-up</t>
  </si>
  <si>
    <t>Send summary</t>
  </si>
  <si>
    <t>Pipeline by stage</t>
  </si>
  <si>
    <t>Leads</t>
  </si>
  <si>
    <t>Est. value</t>
  </si>
  <si>
    <t>Weighted</t>
  </si>
  <si>
    <t>Total</t>
  </si>
  <si>
    <t>Meeting Log &amp; Action Items</t>
  </si>
  <si>
    <t>Decisions and actions from every meeting, with owners, due dates and an automatic overdue flag.</t>
  </si>
  <si>
    <t>Meeting date</t>
  </si>
  <si>
    <t>Meeting</t>
  </si>
  <si>
    <t>Platform</t>
  </si>
  <si>
    <t>Attendees</t>
  </si>
  <si>
    <t>Decision / key note</t>
  </si>
  <si>
    <t>Action item</t>
  </si>
  <si>
    <t>Flag</t>
  </si>
  <si>
    <t>Leadership weekly</t>
  </si>
  <si>
    <t>MS Teams</t>
  </si>
  <si>
    <t>CEO, Ops, Finance, EA</t>
  </si>
  <si>
    <t>Q4 hiring freeze confirmed</t>
  </si>
  <si>
    <t>Circulate updated headcount plan</t>
  </si>
  <si>
    <t>Ops Manager</t>
  </si>
  <si>
    <t>Done</t>
  </si>
  <si>
    <t>Board pack format agreed</t>
  </si>
  <si>
    <t>Draft board pack outline</t>
  </si>
  <si>
    <t>Client check-in: Northgate</t>
  </si>
  <si>
    <t>Account Mgr, Client CFO, EA</t>
  </si>
  <si>
    <t>Quarterly review set for 5 Nov</t>
  </si>
  <si>
    <t>Send quarterly review invite + agenda</t>
  </si>
  <si>
    <t>Client to provide Q3 data</t>
  </si>
  <si>
    <t>Request Q3 data from client</t>
  </si>
  <si>
    <t>Finance review</t>
  </si>
  <si>
    <t>Google Meet</t>
  </si>
  <si>
    <t>Finance Lead, CEO, EA</t>
  </si>
  <si>
    <t>Escalate two 45+ day invoices</t>
  </si>
  <si>
    <t>Escalation emails: INV-1047, INV-1051</t>
  </si>
  <si>
    <t>Twice-weekly AR routine approved</t>
  </si>
  <si>
    <t>Update SOP-04 with new routine</t>
  </si>
  <si>
    <t>Planning day on 14 Nov</t>
  </si>
  <si>
    <t>Confirm venue and catering numbers</t>
  </si>
  <si>
    <t>New PM tool to be trialled</t>
  </si>
  <si>
    <t>Set up 14-day trial workspace</t>
  </si>
  <si>
    <t>Pipeline meeting</t>
  </si>
  <si>
    <t>Sales Lead, CEO, EA</t>
  </si>
  <si>
    <t>Westfield proposal needs revised scope</t>
  </si>
  <si>
    <t>Revise Westfield scope (v2)</t>
  </si>
  <si>
    <t>Stale leads to be re-contacted</t>
  </si>
  <si>
    <t>Follow up 3 stale leads in CRM</t>
  </si>
  <si>
    <t>Training debrief: Session 3</t>
  </si>
  <si>
    <t>Program Lead, EA</t>
  </si>
  <si>
    <t>2 attendees below camera threshold</t>
  </si>
  <si>
    <t>Email both with rebooking options</t>
  </si>
  <si>
    <t>Certificates to issue this week</t>
  </si>
  <si>
    <t>Issue CPD certificates</t>
  </si>
  <si>
    <t>Onboarding stand-up</t>
  </si>
  <si>
    <t>In person</t>
  </si>
  <si>
    <t>Account Mgrs, EA</t>
  </si>
  <si>
    <t>Brightwell letter still unsigned</t>
  </si>
  <si>
    <t>Call Brightwell practice manager</t>
  </si>
  <si>
    <t>Standard folder template agreed</t>
  </si>
  <si>
    <t>Publish folder template to shared drive</t>
  </si>
  <si>
    <t>Event &amp; CPD Attendance Tracker</t>
  </si>
  <si>
    <t>Registration, reminders, attendance and camera compliance for a CPD webinar, with automatic eligibility. Mirrors SOP-05.</t>
  </si>
  <si>
    <t>Session</t>
  </si>
  <si>
    <t>Compliance Essentials: Session 3 (sample)</t>
  </si>
  <si>
    <t>Registered</t>
  </si>
  <si>
    <t>Attended</t>
  </si>
  <si>
    <t>Duration (minutes)</t>
  </si>
  <si>
    <t>Attendance rate</t>
  </si>
  <si>
    <t>Minimum attendance for CPD</t>
  </si>
  <si>
    <t>CPD eligible</t>
  </si>
  <si>
    <t>Camera-on requirement</t>
  </si>
  <si>
    <t>Certificates still to send</t>
  </si>
  <si>
    <t>Reg #</t>
  </si>
  <si>
    <t>Attendee</t>
  </si>
  <si>
    <t>Firm</t>
  </si>
  <si>
    <t>Minutes attended</t>
  </si>
  <si>
    <t>Attendance %</t>
  </si>
  <si>
    <t>Camera-on %</t>
  </si>
  <si>
    <t>Certificate sent</t>
  </si>
  <si>
    <t>R-301</t>
  </si>
  <si>
    <t>J. Santos</t>
  </si>
  <si>
    <t>jsantos@harbourlineacc.example.com</t>
  </si>
  <si>
    <t>Y</t>
  </si>
  <si>
    <t>R-302</t>
  </si>
  <si>
    <t>R. Patel</t>
  </si>
  <si>
    <t>rpatel@northgateadvis.example.com</t>
  </si>
  <si>
    <t>R-303</t>
  </si>
  <si>
    <t>M. Chen</t>
  </si>
  <si>
    <t>Cedar &amp; Co.</t>
  </si>
  <si>
    <t>mchen@cedarco.example.com</t>
  </si>
  <si>
    <t>R-304</t>
  </si>
  <si>
    <t>A. Rivera</t>
  </si>
  <si>
    <t>arivera@bluefinconsult.example.com</t>
  </si>
  <si>
    <t>N</t>
  </si>
  <si>
    <t>R-305</t>
  </si>
  <si>
    <t>K. Nguyen</t>
  </si>
  <si>
    <t>knguyen@oakridgelegal.example.com</t>
  </si>
  <si>
    <t>R-306</t>
  </si>
  <si>
    <t>L. Fischer</t>
  </si>
  <si>
    <t>Summit Property</t>
  </si>
  <si>
    <t>lfischer@summitproperty.example.com</t>
  </si>
  <si>
    <t>R-307</t>
  </si>
  <si>
    <t>P. Ramos</t>
  </si>
  <si>
    <t>pramos@brightwelldent.example.com</t>
  </si>
  <si>
    <t>R-308</t>
  </si>
  <si>
    <t>S. Okafor</t>
  </si>
  <si>
    <t>sokafor@kestrellogisti.example.com</t>
  </si>
  <si>
    <t>R-309</t>
  </si>
  <si>
    <t>D. Morgan</t>
  </si>
  <si>
    <t>dmorgan@riverstoneclin.example.com</t>
  </si>
  <si>
    <t>R-310</t>
  </si>
  <si>
    <t>T. Lim</t>
  </si>
  <si>
    <t>tlim@pinecrestbuild.example.com</t>
  </si>
  <si>
    <t>R-311</t>
  </si>
  <si>
    <t>H. Ali</t>
  </si>
  <si>
    <t>Granite Tech</t>
  </si>
  <si>
    <t>hali@granitetech.example.com</t>
  </si>
  <si>
    <t>R-312</t>
  </si>
  <si>
    <t>E. Bauer</t>
  </si>
  <si>
    <t>ebauer@westfieldfreig.example.com</t>
  </si>
  <si>
    <t>R-313</t>
  </si>
  <si>
    <t>C. Reyes</t>
  </si>
  <si>
    <t>Lumen Physio</t>
  </si>
  <si>
    <t>creyes@lumenphysio.example.com</t>
  </si>
  <si>
    <t>R-314</t>
  </si>
  <si>
    <t>V. Costa</t>
  </si>
  <si>
    <t>Arbor Creative</t>
  </si>
  <si>
    <t>vcosta@arborcreative.example.com</t>
  </si>
  <si>
    <t>R-315</t>
  </si>
  <si>
    <t>N. Ito</t>
  </si>
  <si>
    <t>nito@bayviewhotels.example.com</t>
  </si>
  <si>
    <t>R-316</t>
  </si>
  <si>
    <t>G. Walsh</t>
  </si>
  <si>
    <t>gwalsh@northshoredent.example.com</t>
  </si>
  <si>
    <t>Client Onboarding Tracker</t>
  </si>
  <si>
    <t>The SOP-03 checklist for each new client. Mark each step “Y” when done; completion and next step update automatically.</t>
  </si>
  <si>
    <t>Service</t>
  </si>
  <si>
    <t>Start date</t>
  </si>
  <si>
    <t>Welcome email</t>
  </si>
  <si>
    <t>Engagement letter signed</t>
  </si>
  <si>
    <t>CRM record</t>
  </si>
  <si>
    <t>Xero contact</t>
  </si>
  <si>
    <t>Client folder</t>
  </si>
  <si>
    <t>Access granted</t>
  </si>
  <si>
    <t>Completion</t>
  </si>
  <si>
    <t>Days in onboarding</t>
  </si>
  <si>
    <t>Outsourced AR</t>
  </si>
  <si>
    <t>BAS + bookkeeping</t>
  </si>
  <si>
    <t>Travel Planner &amp; Itinerary</t>
  </si>
  <si>
    <t>Sample itinerary for a three-day client trip, with confirmations, costs and a budget check.</t>
  </si>
  <si>
    <t>Traveller</t>
  </si>
  <si>
    <t>Client visits + industry conference</t>
  </si>
  <si>
    <t>Destination</t>
  </si>
  <si>
    <t>Sydney, NSW</t>
  </si>
  <si>
    <t>Dates</t>
  </si>
  <si>
    <t>4–6 November 2026</t>
  </si>
  <si>
    <t>Time</t>
  </si>
  <si>
    <t>Details</t>
  </si>
  <si>
    <t>Provider</t>
  </si>
  <si>
    <t>Confirmation #</t>
  </si>
  <si>
    <t>Cost</t>
  </si>
  <si>
    <t>06:45</t>
  </si>
  <si>
    <t>Ground transport</t>
  </si>
  <si>
    <t>Car to airport (pick-up from home)</t>
  </si>
  <si>
    <t>City Cars</t>
  </si>
  <si>
    <t>CC-88213</t>
  </si>
  <si>
    <t>Booked</t>
  </si>
  <si>
    <t>08:30</t>
  </si>
  <si>
    <t>Flight</t>
  </si>
  <si>
    <t>Outbound flight, carry-on only, aisle seat</t>
  </si>
  <si>
    <t>Airline</t>
  </si>
  <si>
    <t>QX7P2L</t>
  </si>
  <si>
    <t>11:30</t>
  </si>
  <si>
    <t>Northgate Advisory: quarterly review (agenda attached)</t>
  </si>
  <si>
    <t>Client office</t>
  </si>
  <si>
    <t>15:00</t>
  </si>
  <si>
    <t>Hotel</t>
  </si>
  <si>
    <t>Check-in, 2 nights, quiet room requested, breakfast included</t>
  </si>
  <si>
    <t>Harbour Hotel</t>
  </si>
  <si>
    <t>HH-554019</t>
  </si>
  <si>
    <t>19:00</t>
  </si>
  <si>
    <t>Meal</t>
  </si>
  <si>
    <t>Client dinner for 4 (dietary notes sent)</t>
  </si>
  <si>
    <t>Restaurant</t>
  </si>
  <si>
    <t>Res #2290</t>
  </si>
  <si>
    <t>Pending confirmation</t>
  </si>
  <si>
    <t>09:00</t>
  </si>
  <si>
    <t>Other</t>
  </si>
  <si>
    <t>Conference registration + day pass</t>
  </si>
  <si>
    <t>Conference</t>
  </si>
  <si>
    <t>CONF-1042</t>
  </si>
  <si>
    <t>16:00</t>
  </si>
  <si>
    <t>Westfield Freight: proposal discussion</t>
  </si>
  <si>
    <t>To book</t>
  </si>
  <si>
    <t>10:00</t>
  </si>
  <si>
    <t>Coffee with referral partner</t>
  </si>
  <si>
    <t>Café near hotel</t>
  </si>
  <si>
    <t>13:15</t>
  </si>
  <si>
    <t>Taxi to airport</t>
  </si>
  <si>
    <t>Taxi</t>
  </si>
  <si>
    <t>15:40</t>
  </si>
  <si>
    <t>Return flight, aisle seat</t>
  </si>
  <si>
    <t>Budget check</t>
  </si>
  <si>
    <t>Budget</t>
  </si>
  <si>
    <t>Booked / estimated</t>
  </si>
  <si>
    <t>Variance</t>
  </si>
  <si>
    <t>Check</t>
  </si>
  <si>
    <t>Research Brief: Choosing a Project Management Tool</t>
  </si>
  <si>
    <t>How I scope, carry out and report a research request. Findings link live to the Tool Evaluation tab.</t>
  </si>
  <si>
    <t>Date requested</t>
  </si>
  <si>
    <t>Deadline</t>
  </si>
  <si>
    <t>Objective</t>
  </si>
  <si>
    <t>Recommend one project management tool the whole team can use for client work, recurring compliance deadlines and SOP storage, replacing spreadsheets and email threads.</t>
  </si>
  <si>
    <t>Key questions</t>
  </si>
  <si>
    <t>1) Which tools handle recurring deadlines well? 2) Can SOPs live alongside tasks? 3) How quickly can a non-technical team adopt it? 4) Does it connect with Google Workspace and Slack?</t>
  </si>
  <si>
    <t>Method</t>
  </si>
  <si>
    <t>Shortlisted 5 widely used tools → reviewed official documentation and feature pages → ran a trial workspace with a sample client project → gathered feedback from 3 team members → scored against weighted criteria agreed with the requester.</t>
  </si>
  <si>
    <t>Sources</t>
  </si>
  <si>
    <t>Vendor documentation and help centres; free trials; independent user reviews (e.g. G2, Capterra); team feedback sessions.</t>
  </si>
  <si>
    <t>Top-scoring option</t>
  </si>
  <si>
    <t>Recommendation</t>
  </si>
  <si>
    <t>Risks / considerations</t>
  </si>
  <si>
    <t>Change fatigue: keep the rollout to one team first. Migration of existing SOPs takes roughly 1–2 days. Confirm data residency and access controls with the vendor.</t>
  </si>
  <si>
    <t>Next steps</t>
  </si>
  <si>
    <t>Approve the trial → set up workspace and templates (EA) → team walkthrough (30 min) → review after 14 days.</t>
  </si>
  <si>
    <t>Delivered on 23 Oct 2026; trial approved at the 26 Oct leadership meeting (see Meeting Actions).</t>
  </si>
  <si>
    <t>Research: Project Management Tool Evaluation</t>
  </si>
  <si>
    <t>Weighted decision matrix for a 12-person accounting practice choosing one tool for client work, deadlines and SOPs.</t>
  </si>
  <si>
    <t>Scores: 1 = poor fit, 5 = excellent fit for this client’s needs (my assessment after trials and documentation review).</t>
  </si>
  <si>
    <t>Criterion</t>
  </si>
  <si>
    <t>Weight</t>
  </si>
  <si>
    <t>Asana</t>
  </si>
  <si>
    <t>ClickUp</t>
  </si>
  <si>
    <t>monday.com</t>
  </si>
  <si>
    <t>Notion</t>
  </si>
  <si>
    <t>Trello</t>
  </si>
  <si>
    <t>Easy for a non-technical team to adopt</t>
  </si>
  <si>
    <t>Recurring tasks and deadline tracking</t>
  </si>
  <si>
    <t>Client / project views (board, list, calendar, timeline)</t>
  </si>
  <si>
    <t>Documentation and SOP storage</t>
  </si>
  <si>
    <t>Integrations with current tools (Google Workspace, Slack, email)</t>
  </si>
  <si>
    <t>No-code automations</t>
  </si>
  <si>
    <t>Reporting and dashboards</t>
  </si>
  <si>
    <t>Weighted score (out of 5)</t>
  </si>
  <si>
    <t>Rank</t>
  </si>
  <si>
    <t>Recommended option</t>
  </si>
  <si>
    <t>Its weighted score</t>
  </si>
  <si>
    <t>Change any weight or score and the totals, ranks and recommendation update. Pricing and plan limits change often, so they are checked on each vendor’s website before a final decision and are not scored here.</t>
  </si>
  <si>
    <t>How each recurring request moves from trigger to done: who does what, in which tool, and within what time.</t>
  </si>
  <si>
    <t>Outstanding invoice → follow-up</t>
  </si>
  <si>
    <t>Trigger / input</t>
  </si>
  <si>
    <t>Output</t>
  </si>
  <si>
    <t>Monday / Thursday AR routine</t>
  </si>
  <si>
    <t>Review the account in Xero aged receivables</t>
  </si>
  <si>
    <t>EA</t>
  </si>
  <si>
    <t>Same morning</t>
  </si>
  <si>
    <t>List of overdue invoices</t>
  </si>
  <si>
    <t>Overdue invoice on list</t>
  </si>
  <si>
    <t>Check payment status and unreconciled bank lines</t>
  </si>
  <si>
    <t>15 min</t>
  </si>
  <si>
    <t>Confirmed still unpaid</t>
  </si>
  <si>
    <t>Still unpaid</t>
  </si>
  <si>
    <t>Send the stage-appropriate reminder or call</t>
  </si>
  <si>
    <t>Email / phone</t>
  </si>
  <si>
    <t>Same day</t>
  </si>
  <si>
    <t>Contact logged</t>
  </si>
  <si>
    <t>Contact made</t>
  </si>
  <si>
    <t>Update records with promised date and notes</t>
  </si>
  <si>
    <t>AR Tracker + Xero</t>
  </si>
  <si>
    <t>Records current</t>
  </si>
  <si>
    <t>Promised date reached</t>
  </si>
  <si>
    <t>Check payment; schedule the next action or escalate</t>
  </si>
  <si>
    <t>EA → Finance</t>
  </si>
  <si>
    <t>Next business day</t>
  </si>
  <si>
    <t>Paid or escalated</t>
  </si>
  <si>
    <t>CRM → client follow-up</t>
  </si>
  <si>
    <t>New enquiry received</t>
  </si>
  <si>
    <t>Create the lead with source and service interest</t>
  </si>
  <si>
    <t>Within 4 business hours</t>
  </si>
  <si>
    <t>Lead record</t>
  </si>
  <si>
    <t>Lead created</t>
  </si>
  <si>
    <t>Assign stage and owner; add notes from the enquiry</t>
  </si>
  <si>
    <t>Stage set</t>
  </si>
  <si>
    <t>Set the next step and date</t>
  </si>
  <si>
    <t>EA / Sales</t>
  </si>
  <si>
    <t>Follow-up scheduled</t>
  </si>
  <si>
    <t>Next step due</t>
  </si>
  <si>
    <t>Follow up by email or call; log outcome</t>
  </si>
  <si>
    <t>Sales (EA prepares)</t>
  </si>
  <si>
    <t>On the date</t>
  </si>
  <si>
    <t>Stage updated</t>
  </si>
  <si>
    <t>Weekly pipeline review</t>
  </si>
  <si>
    <t>Flag stale leads (14+ days) and overdue follow-ups</t>
  </si>
  <si>
    <t>CRM Pipeline tab</t>
  </si>
  <si>
    <t>Every Monday</t>
  </si>
  <si>
    <t>Follow-up list</t>
  </si>
  <si>
    <t>Meeting → action</t>
  </si>
  <si>
    <t>Meeting requested</t>
  </si>
  <si>
    <t>Agree purpose, attendees, length; send invite</t>
  </si>
  <si>
    <t>1 business day</t>
  </si>
  <si>
    <t>48 h before</t>
  </si>
  <si>
    <t>Confirm attendance; share the meeting pack</t>
  </si>
  <si>
    <t>24 h before</t>
  </si>
  <si>
    <t>Pack shared</t>
  </si>
  <si>
    <t>Meeting held</t>
  </si>
  <si>
    <t>Capture decisions and actions</t>
  </si>
  <si>
    <t>During meeting</t>
  </si>
  <si>
    <t>Circulate notes; log actions with owners and dates</t>
  </si>
  <si>
    <t>Meeting Actions tab</t>
  </si>
  <si>
    <t>Within 24 h</t>
  </si>
  <si>
    <t>Action due in 2 days</t>
  </si>
  <si>
    <t>Remind the owner; close when done</t>
  </si>
  <si>
    <t>Email / Teams</t>
  </si>
  <si>
    <t>Ongoing</t>
  </si>
  <si>
    <t>Actions closed</t>
  </si>
  <si>
    <t>Task → completion</t>
  </si>
  <si>
    <t>Request arrives (email, chat, meeting)</t>
  </si>
  <si>
    <t>Log the task with requester and area</t>
  </si>
  <si>
    <t>Task Tracker / monday.com</t>
  </si>
  <si>
    <t>Task logged</t>
  </si>
  <si>
    <t>Set priority and due date with the requester</t>
  </si>
  <si>
    <t>Priority + deadline</t>
  </si>
  <si>
    <t>Update % complete and notes</t>
  </si>
  <si>
    <t>Daily</t>
  </si>
  <si>
    <t>Progress visible</t>
  </si>
  <si>
    <t>Health flag turns “Due soon”; check for blockers</t>
  </si>
  <si>
    <t>Daily check</t>
  </si>
  <si>
    <t>Blockers raised</t>
  </si>
  <si>
    <t>Work finished</t>
  </si>
  <si>
    <t>Mark Completed; confirm with the requester</t>
  </si>
  <si>
    <t>Task Tracker + email</t>
  </si>
  <si>
    <t>Closed loop</t>
  </si>
  <si>
    <t>Who is Responsible, Accountable, Consulted and Informed for recurring activities. Each row must have exactly one “A”.</t>
  </si>
  <si>
    <t>Activity</t>
  </si>
  <si>
    <t>Executive (CEO)</t>
  </si>
  <si>
    <t>Executive Assistant</t>
  </si>
  <si>
    <t>Operations Team</t>
  </si>
  <si>
    <t>Executive calendar &amp; inbox</t>
  </si>
  <si>
    <t>A</t>
  </si>
  <si>
    <t>R</t>
  </si>
  <si>
    <t>I</t>
  </si>
  <si>
    <t>Board pack preparation</t>
  </si>
  <si>
    <t>C</t>
  </si>
  <si>
    <t>CRM data quality</t>
  </si>
  <si>
    <t>Invoice follow-up (AR)</t>
  </si>
  <si>
    <t>Escalated overdue accounts</t>
  </si>
  <si>
    <t>Meeting notes &amp; action tracking</t>
  </si>
  <si>
    <t>SOP creation &amp; reviews</t>
  </si>
  <si>
    <t>Webinar delivery &amp; CPD records</t>
  </si>
  <si>
    <t>Travel bookings</t>
  </si>
  <si>
    <t>Monthly KPI report</t>
  </si>
  <si>
    <t>Software subscriptions</t>
  </si>
  <si>
    <t>R = Responsible (does the work) · A = Accountable (one owner, signs off) · C = Consulted (input before) · I = Informed (told after)</t>
  </si>
  <si>
    <t>Task status</t>
  </si>
  <si>
    <t>Action status</t>
  </si>
  <si>
    <t>Lead source</t>
  </si>
  <si>
    <t>Pipeline stage</t>
  </si>
  <si>
    <t>Stage probability</t>
  </si>
  <si>
    <t>Yes / No</t>
  </si>
  <si>
    <t>Travel item</t>
  </si>
  <si>
    <t>SOP category</t>
  </si>
  <si>
    <t>Booking status</t>
  </si>
  <si>
    <t>Cancelled</t>
  </si>
  <si>
    <t>Edit these lists to change the drop-down options used across the workbook. Stage probabilities (column F) drive the weighted pipeline in CRM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</si>
</sst>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 mmm yyyy"/>
    <numFmt numFmtId="165" formatCode="$#,##0;($#,##0);&quot;-&quot;"/>
    <numFmt numFmtId="166" formatCode="0;-0;&quot;-&quot;"/>
    <numFmt numFmtId="167" formatCode="$#,##0.00;($#,##0.00);&quot;-&quot;"/>
  </numFmts>
  <fonts count="11" x14ac:knownFonts="1">
    <font>
      <color theme="1"/>
      <family val="2"/>
      <scheme val="minor"/>
      <sz val="11"/>
      <name val="Calibri"/>
    </font>
    <font>
      <b/>
      <color rgb="FF800020"/>
      <sz val="20"/>
      <name val="Arial"/>
    </font>
    <font>
      <i/>
      <color rgb="FF5D5753"/>
      <sz val="10"/>
      <name val="Arial"/>
    </font>
    <font>
      <color rgb="FF292929"/>
      <sz val="10"/>
      <name val="Arial"/>
    </font>
    <font>
      <b/>
      <color rgb="FF800020"/>
      <sz val="12"/>
      <name val="Arial"/>
    </font>
    <font>
      <b/>
      <color rgb="FF292929"/>
      <sz val="10"/>
      <name val="Arial"/>
    </font>
    <font>
      <i/>
      <color rgb="FF5D5753"/>
      <sz val="9"/>
      <name val="Arial"/>
    </font>
    <font>
      <b/>
      <color rgb="FFFFFFFF"/>
      <sz val="10"/>
      <name val="Arial"/>
    </font>
    <font>
      <u/>
      <color rgb="FF800020"/>
      <sz val="10"/>
      <name val="Arial"/>
    </font>
    <font>
      <b/>
      <color rgb="FF5D5753"/>
      <sz val="9"/>
      <name val="Arial"/>
    </font>
    <font>
      <b/>
      <color rgb="FF800020"/>
      <sz val="18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9F6"/>
      </patternFill>
    </fill>
    <fill>
      <patternFill patternType="solid">
        <fgColor rgb="FFF3F1EF"/>
      </patternFill>
    </fill>
    <fill>
      <patternFill patternType="solid">
        <fgColor rgb="FF800020"/>
      </patternFill>
    </fill>
    <fill>
      <patternFill patternType="solid">
        <fgColor rgb="FFF7EE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00020"/>
      </bottom>
      <diagonal/>
    </border>
    <border>
      <left style="thin">
        <color rgb="FFEAE7E5"/>
      </left>
      <right style="thin">
        <color rgb="FFEAE7E5"/>
      </right>
      <top style="thin">
        <color rgb="FFEAE7E5"/>
      </top>
      <bottom style="thin">
        <color rgb="FFEAE7E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5" fillId="2" borderId="2" xfId="0" applyFont="1" applyFill="1" applyBorder="1" applyAlignment="1">
      <alignment vertical="top" wrapText="1"/>
    </xf>
    <xf numFmtId="164" fontId="5" fillId="0" borderId="2" xfId="0" applyNumberFormat="1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9" fillId="2" borderId="2" xfId="0" applyFont="1" applyFill="1" applyBorder="1" applyAlignment="1">
      <alignment vertical="center" wrapText="1"/>
    </xf>
    <xf numFmtId="1" fontId="10" fillId="3" borderId="2" xfId="0" applyNumberFormat="1" applyFont="1" applyFill="1" applyBorder="1" applyAlignment="1">
      <alignment horizontal="left" vertical="center"/>
    </xf>
    <xf numFmtId="9" fontId="10" fillId="3" borderId="2" xfId="0" applyNumberFormat="1" applyFont="1" applyFill="1" applyBorder="1" applyAlignment="1">
      <alignment horizontal="left" vertical="center"/>
    </xf>
    <xf numFmtId="165" fontId="10" fillId="3" borderId="2" xfId="0" applyNumberFormat="1" applyFont="1" applyFill="1" applyBorder="1" applyAlignment="1">
      <alignment horizontal="left" vertical="center"/>
    </xf>
    <xf numFmtId="1" fontId="5" fillId="3" borderId="2" xfId="0" applyNumberFormat="1" applyFont="1" applyFill="1" applyBorder="1" applyAlignment="1">
      <alignment horizontal="center" vertical="top" wrapText="1"/>
    </xf>
    <xf numFmtId="1" fontId="5" fillId="3" borderId="2" xfId="0" applyNumberFormat="1" applyFont="1" applyFill="1" applyBorder="1" applyAlignment="1">
      <alignment horizontal="right" vertical="top" wrapText="1"/>
    </xf>
    <xf numFmtId="165" fontId="5" fillId="3" borderId="2" xfId="0" applyNumberFormat="1" applyFont="1" applyFill="1" applyBorder="1" applyAlignment="1">
      <alignment horizontal="right" vertical="top" wrapText="1"/>
    </xf>
    <xf numFmtId="9" fontId="5" fillId="3" borderId="2" xfId="0" applyNumberFormat="1" applyFont="1" applyFill="1" applyBorder="1" applyAlignment="1">
      <alignment horizontal="right" vertical="top" wrapText="1"/>
    </xf>
    <xf numFmtId="164" fontId="3" fillId="0" borderId="2" xfId="0" applyNumberFormat="1" applyFont="1" applyBorder="1" applyAlignment="1">
      <alignment vertical="top" wrapText="1"/>
    </xf>
    <xf numFmtId="1" fontId="3" fillId="0" borderId="2" xfId="0" applyNumberFormat="1" applyFont="1" applyBorder="1" applyAlignment="1">
      <alignment vertical="top" wrapText="1"/>
    </xf>
    <xf numFmtId="164" fontId="3" fillId="3" borderId="2" xfId="0" applyNumberFormat="1" applyFont="1" applyFill="1" applyBorder="1" applyAlignment="1">
      <alignment vertical="top" wrapText="1"/>
    </xf>
    <xf numFmtId="166" fontId="3" fillId="3" borderId="2" xfId="0" applyNumberFormat="1" applyFont="1" applyFill="1" applyBorder="1" applyAlignment="1">
      <alignment vertical="top" wrapText="1"/>
    </xf>
    <xf numFmtId="1" fontId="3" fillId="3" borderId="2" xfId="0" applyNumberFormat="1" applyFont="1" applyFill="1" applyBorder="1" applyAlignment="1">
      <alignment vertical="top" wrapText="1"/>
    </xf>
    <xf numFmtId="0" fontId="3" fillId="0" borderId="0" xfId="0" applyFont="1" applyAlignment="1">
      <alignment horizontal="right" vertical="top" wrapText="1"/>
    </xf>
    <xf numFmtId="9" fontId="3" fillId="0" borderId="2" xfId="0" applyNumberFormat="1" applyFont="1" applyBorder="1" applyAlignment="1">
      <alignment vertical="top" wrapText="1"/>
    </xf>
    <xf numFmtId="167" fontId="3" fillId="0" borderId="2" xfId="0" applyNumberFormat="1" applyFont="1" applyBorder="1" applyAlignment="1">
      <alignment vertical="top" wrapText="1"/>
    </xf>
    <xf numFmtId="167" fontId="3" fillId="3" borderId="2" xfId="0" applyNumberFormat="1" applyFont="1" applyFill="1" applyBorder="1" applyAlignment="1">
      <alignment vertical="top" wrapText="1"/>
    </xf>
    <xf numFmtId="9" fontId="3" fillId="3" borderId="2" xfId="0" applyNumberFormat="1" applyFont="1" applyFill="1" applyBorder="1" applyAlignment="1">
      <alignment vertical="top" wrapText="1"/>
    </xf>
    <xf numFmtId="0" fontId="5" fillId="5" borderId="2" xfId="0" applyFont="1" applyFill="1" applyBorder="1"/>
    <xf numFmtId="1" fontId="5" fillId="5" borderId="2" xfId="0" applyNumberFormat="1" applyFont="1" applyFill="1" applyBorder="1"/>
    <xf numFmtId="167" fontId="5" fillId="5" borderId="2" xfId="0" applyNumberFormat="1" applyFont="1" applyFill="1" applyBorder="1"/>
    <xf numFmtId="9" fontId="5" fillId="5" borderId="2" xfId="0" applyNumberFormat="1" applyFont="1" applyFill="1" applyBorder="1"/>
    <xf numFmtId="165" fontId="3" fillId="0" borderId="2" xfId="0" applyNumberFormat="1" applyFont="1" applyBorder="1" applyAlignment="1">
      <alignment vertical="top" wrapText="1"/>
    </xf>
    <xf numFmtId="165" fontId="3" fillId="3" borderId="2" xfId="0" applyNumberFormat="1" applyFont="1" applyFill="1" applyBorder="1" applyAlignment="1">
      <alignment vertical="top" wrapText="1"/>
    </xf>
    <xf numFmtId="165" fontId="5" fillId="5" borderId="2" xfId="0" applyNumberFormat="1" applyFont="1" applyFill="1" applyBorder="1"/>
    <xf numFmtId="1" fontId="5" fillId="3" borderId="2" xfId="0" applyNumberFormat="1" applyFont="1" applyFill="1" applyBorder="1" applyAlignment="1">
      <alignment vertical="top" wrapText="1"/>
    </xf>
    <xf numFmtId="9" fontId="5" fillId="3" borderId="2" xfId="0" applyNumberFormat="1" applyFont="1" applyFill="1" applyBorder="1" applyAlignment="1">
      <alignment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5" fillId="3" borderId="2" xfId="0" applyFont="1" applyFill="1" applyBorder="1" applyAlignment="1">
      <alignment vertical="top" wrapText="1"/>
    </xf>
    <xf numFmtId="2" fontId="5" fillId="5" borderId="2" xfId="0" applyNumberFormat="1" applyFont="1" applyFill="1" applyBorder="1"/>
    <xf numFmtId="1" fontId="3" fillId="3" borderId="2" xfId="0" applyNumberFormat="1" applyFont="1" applyFill="1" applyBorder="1" applyAlignment="1">
      <alignment horizontal="center" vertical="top" wrapText="1"/>
    </xf>
    <xf numFmtId="2" fontId="3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19">
    <dxf>
      <font>
        <b/>
        <color rgb="FF800020"/>
      </font>
      <fill>
        <patternFill patternType="solid">
          <bgColor rgb="FFF8D7DA"/>
        </patternFill>
      </fill>
    </dxf>
    <dxf>
      <font>
        <b/>
        <color rgb="FF800020"/>
      </font>
      <fill>
        <patternFill patternType="solid">
          <bgColor rgb="FFF8D7DA"/>
        </patternFill>
      </fill>
    </dxf>
    <dxf>
      <font>
        <b/>
        <color rgb="FF7A5B00"/>
      </font>
      <fill>
        <patternFill patternType="solid">
          <bgColor rgb="FFFFF3CD"/>
        </patternFill>
      </fill>
    </dxf>
    <dxf>
      <font>
        <b/>
        <color rgb="FF800020"/>
      </font>
      <fill>
        <patternFill patternType="solid">
          <bgColor rgb="FFF8D7DA"/>
        </patternFill>
      </fill>
    </dxf>
    <dxf>
      <font>
        <b/>
        <color rgb="FF7A5B00"/>
      </font>
      <fill>
        <patternFill patternType="solid">
          <bgColor rgb="FFFFF3CD"/>
        </patternFill>
      </fill>
    </dxf>
    <dxf>
      <font>
        <b/>
        <color rgb="FF2F6B4F"/>
      </font>
      <fill>
        <patternFill patternType="solid">
          <bgColor rgb="FFE3F1E8"/>
        </patternFill>
      </fill>
    </dxf>
    <dxf>
      <font>
        <b/>
        <color rgb="FF800020"/>
      </font>
      <fill>
        <patternFill patternType="solid">
          <bgColor rgb="FFF8D7DA"/>
        </patternFill>
      </fill>
    </dxf>
    <dxf>
      <font>
        <b/>
        <color rgb="FF7A5B00"/>
      </font>
      <fill>
        <patternFill patternType="solid">
          <bgColor rgb="FFFFF3CD"/>
        </patternFill>
      </fill>
    </dxf>
    <dxf>
      <font>
        <b/>
        <color rgb="FF2F6B4F"/>
      </font>
      <fill>
        <patternFill patternType="solid">
          <bgColor rgb="FFE3F1E8"/>
        </patternFill>
      </fill>
    </dxf>
    <dxf>
      <font>
        <b/>
        <color rgb="FF800020"/>
      </font>
      <fill>
        <patternFill patternType="solid">
          <bgColor rgb="FFF8D7DA"/>
        </patternFill>
      </fill>
    </dxf>
    <dxf>
      <font>
        <b/>
        <color rgb="FF7A5B00"/>
      </font>
      <fill>
        <patternFill patternType="solid">
          <bgColor rgb="FFFFF3CD"/>
        </patternFill>
      </fill>
    </dxf>
    <dxf>
      <font>
        <b/>
        <color rgb="FF800020"/>
      </font>
      <fill>
        <patternFill patternType="solid">
          <bgColor rgb="FFF8D7DA"/>
        </patternFill>
      </fill>
    </dxf>
    <dxf>
      <font>
        <b/>
        <color rgb="FF7A5B00"/>
      </font>
      <fill>
        <patternFill patternType="solid">
          <bgColor rgb="FFFFF3CD"/>
        </patternFill>
      </fill>
    </dxf>
    <dxf>
      <font>
        <b/>
        <color rgb="FF2F6B4F"/>
      </font>
      <fill>
        <patternFill patternType="solid">
          <bgColor rgb="FFE3F1E8"/>
        </patternFill>
      </fill>
    </dxf>
    <dxf>
      <font>
        <b/>
        <color rgb="FF2F6B4F"/>
      </font>
      <fill>
        <patternFill patternType="solid">
          <bgColor rgb="FFE3F1E8"/>
        </patternFill>
      </fill>
    </dxf>
    <dxf>
      <font>
        <b/>
        <color rgb="FF7A5B00"/>
      </font>
      <fill>
        <patternFill patternType="solid">
          <bgColor rgb="FFFFF3CD"/>
        </patternFill>
      </fill>
    </dxf>
    <dxf>
      <font>
        <b/>
        <color rgb="FF2F6B4F"/>
      </font>
      <fill>
        <patternFill patternType="solid">
          <bgColor rgb="FFE3F1E8"/>
        </patternFill>
      </fill>
    </dxf>
    <dxf>
      <font>
        <b/>
        <color rgb="FF800020"/>
      </font>
      <fill>
        <patternFill patternType="solid">
          <bgColor rgb="FFF7EEF0"/>
        </patternFill>
      </fill>
    </dxf>
    <dxf>
      <font>
        <b/>
        <color rgb="FF2F6B4F"/>
      </font>
      <fill>
        <patternFill patternType="solid">
          <bgColor rgb="FFE3F1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Dashboard!A1" TargetMode="External"/><Relationship Id="rId2" Type="http://schemas.openxmlformats.org/officeDocument/2006/relationships/hyperlink" Target="#&apos;Weekly Report&apos;!A1" TargetMode="External"/><Relationship Id="rId3" Type="http://schemas.openxmlformats.org/officeDocument/2006/relationships/hyperlink" Target="#&apos;SOP Library&apos;!A1" TargetMode="External"/><Relationship Id="rId4" Type="http://schemas.openxmlformats.org/officeDocument/2006/relationships/hyperlink" Target="#&apos;SOP-01 Inbox&apos;!A1" TargetMode="External"/><Relationship Id="rId5" Type="http://schemas.openxmlformats.org/officeDocument/2006/relationships/hyperlink" Target="#&apos;SOP-02 Meetings&apos;!A1" TargetMode="External"/><Relationship Id="rId6" Type="http://schemas.openxmlformats.org/officeDocument/2006/relationships/hyperlink" Target="#&apos;SOP-03 Onboarding&apos;!A1" TargetMode="External"/><Relationship Id="rId7" Type="http://schemas.openxmlformats.org/officeDocument/2006/relationships/hyperlink" Target="#&apos;SOP-04 AR Follow-up&apos;!A1" TargetMode="External"/><Relationship Id="rId8" Type="http://schemas.openxmlformats.org/officeDocument/2006/relationships/hyperlink" Target="#&apos;SOP-05 Webinars &amp; CPD&apos;!A1" TargetMode="External"/><Relationship Id="rId9" Type="http://schemas.openxmlformats.org/officeDocument/2006/relationships/hyperlink" Target="#&apos;Task Tracker&apos;!A1" TargetMode="External"/><Relationship Id="rId10" Type="http://schemas.openxmlformats.org/officeDocument/2006/relationships/hyperlink" Target="#&apos;AR Tracker&apos;!A1" TargetMode="External"/><Relationship Id="rId11" Type="http://schemas.openxmlformats.org/officeDocument/2006/relationships/hyperlink" Target="#&apos;CRM Pipeline&apos;!A1" TargetMode="External"/><Relationship Id="rId12" Type="http://schemas.openxmlformats.org/officeDocument/2006/relationships/hyperlink" Target="#&apos;Meeting Actions&apos;!A1" TargetMode="External"/><Relationship Id="rId13" Type="http://schemas.openxmlformats.org/officeDocument/2006/relationships/hyperlink" Target="#&apos;Event &amp; CPD Tracker&apos;!A1" TargetMode="External"/><Relationship Id="rId14" Type="http://schemas.openxmlformats.org/officeDocument/2006/relationships/hyperlink" Target="#&apos;Onboarding Tracker&apos;!A1" TargetMode="External"/><Relationship Id="rId15" Type="http://schemas.openxmlformats.org/officeDocument/2006/relationships/hyperlink" Target="#&apos;Travel Planner&apos;!A1" TargetMode="External"/><Relationship Id="rId16" Type="http://schemas.openxmlformats.org/officeDocument/2006/relationships/hyperlink" Target="#&apos;Research Brief&apos;!A1" TargetMode="External"/><Relationship Id="rId17" Type="http://schemas.openxmlformats.org/officeDocument/2006/relationships/hyperlink" Target="#&apos;Tool Evaluation&apos;!A1" TargetMode="External"/><Relationship Id="rId18" Type="http://schemas.openxmlformats.org/officeDocument/2006/relationships/hyperlink" Target="#&apos;Workflow Maps&apos;!A1" TargetMode="External"/><Relationship Id="rId19" Type="http://schemas.openxmlformats.org/officeDocument/2006/relationships/hyperlink" Target="#&apos;RACI Matrix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Task Tracker&apos;!A1" TargetMode="External"/><Relationship Id="rId2" Type="http://schemas.openxmlformats.org/officeDocument/2006/relationships/hyperlink" Target="#&apos;AR Tracker&apos;!A1" TargetMode="External"/><Relationship Id="rId3" Type="http://schemas.openxmlformats.org/officeDocument/2006/relationships/hyperlink" Target="#&apos;CRM Pipeline&apos;!A1" TargetMode="External"/><Relationship Id="rId4" Type="http://schemas.openxmlformats.org/officeDocument/2006/relationships/hyperlink" Target="#&apos;Event &amp; CPD Tracker&apos;!A1" TargetMode="External"/><Relationship Id="rId5" Type="http://schemas.openxmlformats.org/officeDocument/2006/relationships/hyperlink" Target="#&apos;SOP Library&apos;!A1" TargetMode="External"/><Relationship Id="rId6" Type="http://schemas.openxmlformats.org/officeDocument/2006/relationships/hyperlink" Target="#&apos;Travel Planner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SOP-01 Inbox&apos;!A1" TargetMode="External"/><Relationship Id="rId2" Type="http://schemas.openxmlformats.org/officeDocument/2006/relationships/hyperlink" Target="#&apos;SOP-02 Meetings&apos;!A1" TargetMode="External"/><Relationship Id="rId3" Type="http://schemas.openxmlformats.org/officeDocument/2006/relationships/hyperlink" Target="#&apos;SOP-03 Onboarding&apos;!A1" TargetMode="External"/><Relationship Id="rId4" Type="http://schemas.openxmlformats.org/officeDocument/2006/relationships/hyperlink" Target="#&apos;SOP-04 AR Follow-up&apos;!A1" TargetMode="External"/><Relationship Id="rId5" Type="http://schemas.openxmlformats.org/officeDocument/2006/relationships/hyperlink" Target="#&apos;SOP-05 Webinars &amp; CPD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0020"/>
    <pageSetUpPr fitToPage="1"/>
  </sheetPr>
  <dimension ref="B2:E38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8" customWidth="1"/>
    <col min="3" max="3" width="26" customWidth="1"/>
    <col min="4" max="4" width="20" customWidth="1"/>
    <col min="5" max="5" width="72" customWidth="1"/>
  </cols>
  <sheetData>
    <row r="2" ht="34" customHeight="1" spans="2:2" x14ac:dyDescent="0.25">
      <c r="B2" s="1" t="s">
        <v>0</v>
      </c>
    </row>
    <row r="3" ht="18" customHeight="1" spans="2:5" x14ac:dyDescent="0.25">
      <c r="B3" s="2" t="s">
        <v>1</v>
      </c>
      <c r="C3" s="2"/>
      <c r="D3" s="2"/>
      <c r="E3" s="2"/>
    </row>
    <row r="5" ht="48" customHeight="1" spans="2:5" x14ac:dyDescent="0.25">
      <c r="B5" s="3" t="s">
        <v>2</v>
      </c>
      <c r="C5" s="3"/>
      <c r="D5" s="3"/>
      <c r="E5" s="3"/>
    </row>
    <row r="7" spans="2:5" x14ac:dyDescent="0.25">
      <c r="B7" s="4" t="s">
        <v>3</v>
      </c>
      <c r="C7" s="4"/>
      <c r="D7" s="4"/>
      <c r="E7" s="4"/>
    </row>
    <row r="9" ht="30" customHeight="1" spans="2:5" x14ac:dyDescent="0.25">
      <c r="B9" s="5" t="s">
        <v>4</v>
      </c>
      <c r="C9" s="5"/>
      <c r="D9" s="6">
        <v>46325</v>
      </c>
      <c r="E9" s="7" t="s">
        <v>5</v>
      </c>
    </row>
    <row r="11" spans="2:5" x14ac:dyDescent="0.25">
      <c r="B11" s="4" t="s">
        <v>6</v>
      </c>
      <c r="C11" s="4"/>
      <c r="D11" s="4"/>
      <c r="E11" s="4"/>
    </row>
    <row r="12" spans="2:5" x14ac:dyDescent="0.25">
      <c r="B12" s="8" t="s">
        <v>7</v>
      </c>
      <c r="C12" s="8"/>
      <c r="D12" s="8"/>
      <c r="E12" s="3" t="s">
        <v>8</v>
      </c>
    </row>
    <row r="13" spans="2:5" x14ac:dyDescent="0.25">
      <c r="B13" s="9" t="s">
        <v>9</v>
      </c>
      <c r="C13" s="9"/>
      <c r="D13" s="9"/>
      <c r="E13" s="3" t="s">
        <v>10</v>
      </c>
    </row>
    <row r="14" spans="2:5" x14ac:dyDescent="0.25">
      <c r="B14" s="10" t="s">
        <v>11</v>
      </c>
      <c r="C14" s="10"/>
      <c r="D14" s="10"/>
      <c r="E14" s="3" t="s">
        <v>12</v>
      </c>
    </row>
    <row r="16" spans="2:5" x14ac:dyDescent="0.25">
      <c r="B16" s="4" t="s">
        <v>13</v>
      </c>
      <c r="C16" s="4"/>
      <c r="D16" s="4"/>
      <c r="E16" s="4"/>
    </row>
    <row r="17" spans="2:5" x14ac:dyDescent="0.25">
      <c r="B17" s="10" t="s">
        <v>14</v>
      </c>
      <c r="C17" s="10" t="s">
        <v>15</v>
      </c>
      <c r="D17" s="10" t="s">
        <v>16</v>
      </c>
      <c r="E17" s="10" t="s">
        <v>17</v>
      </c>
    </row>
    <row r="18" ht="30" customHeight="1" spans="2:5" x14ac:dyDescent="0.25">
      <c r="B18" s="11">
        <v>1</v>
      </c>
      <c r="C18" s="12" t="s">
        <v>18</v>
      </c>
      <c r="D18" s="8" t="s">
        <v>19</v>
      </c>
      <c r="E18" s="8" t="s">
        <v>20</v>
      </c>
    </row>
    <row r="19" ht="30" customHeight="1" spans="2:5" x14ac:dyDescent="0.25">
      <c r="B19" s="11">
        <v>2</v>
      </c>
      <c r="C19" s="12" t="s">
        <v>21</v>
      </c>
      <c r="D19" s="8" t="s">
        <v>19</v>
      </c>
      <c r="E19" s="8" t="s">
        <v>22</v>
      </c>
    </row>
    <row r="20" ht="17" customHeight="1" spans="2:5" x14ac:dyDescent="0.25">
      <c r="B20" s="11">
        <v>3</v>
      </c>
      <c r="C20" s="12" t="s">
        <v>23</v>
      </c>
      <c r="D20" s="8" t="s">
        <v>24</v>
      </c>
      <c r="E20" s="8" t="s">
        <v>25</v>
      </c>
    </row>
    <row r="21" ht="30" customHeight="1" spans="2:5" x14ac:dyDescent="0.25">
      <c r="B21" s="11">
        <v>4</v>
      </c>
      <c r="C21" s="12" t="s">
        <v>26</v>
      </c>
      <c r="D21" s="8" t="s">
        <v>24</v>
      </c>
      <c r="E21" s="8" t="s">
        <v>27</v>
      </c>
    </row>
    <row r="22" ht="17" customHeight="1" spans="2:5" x14ac:dyDescent="0.25">
      <c r="B22" s="11">
        <v>5</v>
      </c>
      <c r="C22" s="12" t="s">
        <v>28</v>
      </c>
      <c r="D22" s="8" t="s">
        <v>24</v>
      </c>
      <c r="E22" s="8" t="s">
        <v>29</v>
      </c>
    </row>
    <row r="23" ht="17" customHeight="1" spans="2:5" x14ac:dyDescent="0.25">
      <c r="B23" s="11">
        <v>6</v>
      </c>
      <c r="C23" s="12" t="s">
        <v>30</v>
      </c>
      <c r="D23" s="8" t="s">
        <v>24</v>
      </c>
      <c r="E23" s="8" t="s">
        <v>31</v>
      </c>
    </row>
    <row r="24" ht="30" customHeight="1" spans="2:5" x14ac:dyDescent="0.25">
      <c r="B24" s="11">
        <v>7</v>
      </c>
      <c r="C24" s="12" t="s">
        <v>32</v>
      </c>
      <c r="D24" s="8" t="s">
        <v>24</v>
      </c>
      <c r="E24" s="8" t="s">
        <v>33</v>
      </c>
    </row>
    <row r="25" ht="30" customHeight="1" spans="2:5" x14ac:dyDescent="0.25">
      <c r="B25" s="11">
        <v>8</v>
      </c>
      <c r="C25" s="12" t="s">
        <v>34</v>
      </c>
      <c r="D25" s="8" t="s">
        <v>24</v>
      </c>
      <c r="E25" s="8" t="s">
        <v>35</v>
      </c>
    </row>
    <row r="26" ht="30" customHeight="1" spans="2:5" x14ac:dyDescent="0.25">
      <c r="B26" s="11">
        <v>9</v>
      </c>
      <c r="C26" s="12" t="s">
        <v>36</v>
      </c>
      <c r="D26" s="8" t="s">
        <v>37</v>
      </c>
      <c r="E26" s="8" t="s">
        <v>38</v>
      </c>
    </row>
    <row r="27" ht="30" customHeight="1" spans="2:5" x14ac:dyDescent="0.25">
      <c r="B27" s="11">
        <v>10</v>
      </c>
      <c r="C27" s="12" t="s">
        <v>39</v>
      </c>
      <c r="D27" s="8" t="s">
        <v>37</v>
      </c>
      <c r="E27" s="8" t="s">
        <v>40</v>
      </c>
    </row>
    <row r="28" ht="30" customHeight="1" spans="2:5" x14ac:dyDescent="0.25">
      <c r="B28" s="11">
        <v>11</v>
      </c>
      <c r="C28" s="12" t="s">
        <v>41</v>
      </c>
      <c r="D28" s="8" t="s">
        <v>37</v>
      </c>
      <c r="E28" s="8" t="s">
        <v>42</v>
      </c>
    </row>
    <row r="29" ht="30" customHeight="1" spans="2:5" x14ac:dyDescent="0.25">
      <c r="B29" s="11">
        <v>12</v>
      </c>
      <c r="C29" s="12" t="s">
        <v>43</v>
      </c>
      <c r="D29" s="8" t="s">
        <v>37</v>
      </c>
      <c r="E29" s="8" t="s">
        <v>44</v>
      </c>
    </row>
    <row r="30" ht="30" customHeight="1" spans="2:5" x14ac:dyDescent="0.25">
      <c r="B30" s="11">
        <v>13</v>
      </c>
      <c r="C30" s="12" t="s">
        <v>45</v>
      </c>
      <c r="D30" s="8" t="s">
        <v>37</v>
      </c>
      <c r="E30" s="8" t="s">
        <v>46</v>
      </c>
    </row>
    <row r="31" ht="30" customHeight="1" spans="2:5" x14ac:dyDescent="0.25">
      <c r="B31" s="11">
        <v>14</v>
      </c>
      <c r="C31" s="12" t="s">
        <v>47</v>
      </c>
      <c r="D31" s="8" t="s">
        <v>37</v>
      </c>
      <c r="E31" s="8" t="s">
        <v>48</v>
      </c>
    </row>
    <row r="32" ht="17" customHeight="1" spans="2:5" x14ac:dyDescent="0.25">
      <c r="B32" s="11">
        <v>15</v>
      </c>
      <c r="C32" s="12" t="s">
        <v>49</v>
      </c>
      <c r="D32" s="8" t="s">
        <v>37</v>
      </c>
      <c r="E32" s="8" t="s">
        <v>50</v>
      </c>
    </row>
    <row r="33" ht="30" customHeight="1" spans="2:5" x14ac:dyDescent="0.25">
      <c r="B33" s="11">
        <v>16</v>
      </c>
      <c r="C33" s="12" t="s">
        <v>51</v>
      </c>
      <c r="D33" s="8" t="s">
        <v>52</v>
      </c>
      <c r="E33" s="8" t="s">
        <v>53</v>
      </c>
    </row>
    <row r="34" ht="30" customHeight="1" spans="2:5" x14ac:dyDescent="0.25">
      <c r="B34" s="11">
        <v>17</v>
      </c>
      <c r="C34" s="12" t="s">
        <v>54</v>
      </c>
      <c r="D34" s="8" t="s">
        <v>52</v>
      </c>
      <c r="E34" s="8" t="s">
        <v>55</v>
      </c>
    </row>
    <row r="35" ht="30" customHeight="1" spans="2:5" x14ac:dyDescent="0.25">
      <c r="B35" s="11">
        <v>18</v>
      </c>
      <c r="C35" s="12" t="s">
        <v>56</v>
      </c>
      <c r="D35" s="8" t="s">
        <v>57</v>
      </c>
      <c r="E35" s="8" t="s">
        <v>58</v>
      </c>
    </row>
    <row r="36" ht="30" customHeight="1" spans="2:5" x14ac:dyDescent="0.25">
      <c r="B36" s="11">
        <v>19</v>
      </c>
      <c r="C36" s="12" t="s">
        <v>59</v>
      </c>
      <c r="D36" s="8" t="s">
        <v>57</v>
      </c>
      <c r="E36" s="8" t="s">
        <v>60</v>
      </c>
    </row>
    <row r="38" ht="30" customHeight="1" spans="2:5" x14ac:dyDescent="0.25">
      <c r="B38" s="7" t="s">
        <v>61</v>
      </c>
      <c r="C38" s="7"/>
      <c r="D38" s="7"/>
      <c r="E38" s="7"/>
    </row>
  </sheetData>
  <mergeCells count="10">
    <mergeCell ref="B3:E3"/>
    <mergeCell ref="B5:E5"/>
    <mergeCell ref="B7:E7"/>
    <mergeCell ref="B9:C9"/>
    <mergeCell ref="B11:E11"/>
    <mergeCell ref="B12:D12"/>
    <mergeCell ref="B13:D13"/>
    <mergeCell ref="B14:D14"/>
    <mergeCell ref="B16:E16"/>
    <mergeCell ref="B38:E38"/>
  </mergeCells>
  <hyperlinks>
    <hyperlink ref="C18" r:id="rId1" location="#Dashboard!A1"/>
    <hyperlink ref="C19" r:id="rId2" location="#'Weekly Report'!A1"/>
    <hyperlink ref="C20" r:id="rId3" location="#'SOP Library'!A1"/>
    <hyperlink ref="C21" r:id="rId4" location="#'SOP-01 Inbox'!A1"/>
    <hyperlink ref="C22" r:id="rId5" location="#'SOP-02 Meetings'!A1"/>
    <hyperlink ref="C23" r:id="rId6" location="#'SOP-03 Onboarding'!A1"/>
    <hyperlink ref="C24" r:id="rId7" location="#'SOP-04 AR Follow-up'!A1"/>
    <hyperlink ref="C25" r:id="rId8" location="#'SOP-05 Webinars &amp; CPD'!A1"/>
    <hyperlink ref="C26" r:id="rId9" location="#'Task Tracker'!A1"/>
    <hyperlink ref="C27" r:id="rId10" location="#'AR Tracker'!A1"/>
    <hyperlink ref="C28" r:id="rId11" location="#'CRM Pipeline'!A1"/>
    <hyperlink ref="C29" r:id="rId12" location="#'Meeting Actions'!A1"/>
    <hyperlink ref="C30" r:id="rId13" location="#'Event &amp; CPD Tracker'!A1"/>
    <hyperlink ref="C31" r:id="rId14" location="#'Onboarding Tracker'!A1"/>
    <hyperlink ref="C32" r:id="rId15" location="#'Travel Planner'!A1"/>
    <hyperlink ref="C33" r:id="rId16" location="#'Research Brief'!A1"/>
    <hyperlink ref="C34" r:id="rId17" location="#'Tool Evaluation'!A1"/>
    <hyperlink ref="C35" r:id="rId18" location="#'Workflow Maps'!A1"/>
    <hyperlink ref="C36" r:id="rId19" location="#'RACI Matrix'!A1"/>
  </hyperlink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0020"/>
    <pageSetUpPr fitToPage="1"/>
  </sheetPr>
  <dimension ref="B1:I27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9" width="16" customWidth="1"/>
  </cols>
  <sheetData>
    <row r="1" ht="32" customHeight="1" spans="2:2" x14ac:dyDescent="0.25">
      <c r="B1" s="1" t="s">
        <v>62</v>
      </c>
    </row>
    <row r="2" spans="2:9" x14ac:dyDescent="0.25">
      <c r="B2" s="2" t="str">
        <f>"Live summary of every tracker · as of "&amp;DAY(AsOfDate)&amp;"/"&amp;MONTH(AsOfDate)&amp;"/"&amp;YEAR(AsOfDate)</f>
        <v>Live summary of every tracker · as of 30/10/2026</v>
      </c>
      <c r="C2" s="2"/>
      <c r="D2" s="2"/>
      <c r="E2" s="2"/>
      <c r="F2" s="2"/>
      <c r="G2" s="2"/>
      <c r="H2" s="2"/>
      <c r="I2" s="2"/>
    </row>
    <row r="4" spans="2:9" x14ac:dyDescent="0.25">
      <c r="B4" s="4" t="s">
        <v>63</v>
      </c>
      <c r="C4" s="4"/>
      <c r="D4" s="4"/>
      <c r="E4" s="4"/>
      <c r="F4" s="4"/>
      <c r="G4" s="4"/>
      <c r="H4" s="4"/>
      <c r="I4" s="4"/>
    </row>
    <row r="5" spans="2:9" x14ac:dyDescent="0.25">
      <c r="B5" s="13" t="s">
        <v>64</v>
      </c>
      <c r="C5" s="13"/>
      <c r="D5" s="13" t="s">
        <v>65</v>
      </c>
      <c r="E5" s="13"/>
      <c r="F5" s="13" t="s">
        <v>66</v>
      </c>
      <c r="G5" s="13"/>
      <c r="H5" s="13" t="s">
        <v>67</v>
      </c>
      <c r="I5" s="13"/>
    </row>
    <row r="6" ht="34" customHeight="1" spans="2:9" x14ac:dyDescent="0.25">
      <c r="B6" s="14">
        <f>COUNTA('Task Tracker'!$J$5:$J$22)-COUNTIF('Task Tracker'!$J$5:$J$22,"Completed")</f>
        <v>14</v>
      </c>
      <c r="C6" s="14"/>
      <c r="D6" s="14">
        <f>COUNTIF('Task Tracker'!$M$5:$M$22,"Overdue")</f>
        <v>3</v>
      </c>
      <c r="E6" s="14"/>
      <c r="F6" s="14">
        <f>COUNTIF('Task Tracker'!$M$5:$M$22,"Due soon")</f>
        <v>5</v>
      </c>
      <c r="G6" s="14"/>
      <c r="H6" s="15">
        <f>IFERROR(COUNTIF('Task Tracker'!$J$5:$J$22,"Completed")/COUNTA('Task Tracker'!$J$5:$J$22),0)</f>
        <v>0.222222222222222</v>
      </c>
      <c r="I6" s="15"/>
    </row>
    <row r="8" spans="2:9" x14ac:dyDescent="0.25">
      <c r="B8" s="4" t="s">
        <v>68</v>
      </c>
      <c r="C8" s="4"/>
      <c r="D8" s="4"/>
      <c r="E8" s="4"/>
      <c r="F8" s="4"/>
      <c r="G8" s="4"/>
      <c r="H8" s="4"/>
      <c r="I8" s="4"/>
    </row>
    <row r="9" spans="2:9" x14ac:dyDescent="0.25">
      <c r="B9" s="13" t="s">
        <v>69</v>
      </c>
      <c r="C9" s="13"/>
      <c r="D9" s="13" t="s">
        <v>70</v>
      </c>
      <c r="E9" s="13"/>
      <c r="F9" s="13" t="s">
        <v>71</v>
      </c>
      <c r="G9" s="13"/>
      <c r="H9" s="13" t="s">
        <v>72</v>
      </c>
      <c r="I9" s="13"/>
    </row>
    <row r="10" ht="34" customHeight="1" spans="2:9" x14ac:dyDescent="0.25">
      <c r="B10" s="16">
        <f>SUM('AR Tracker'!$J$5:$J$20)</f>
        <v>43830</v>
      </c>
      <c r="C10" s="16"/>
      <c r="D10" s="16">
        <f>SUMIFS('AR Tracker'!$J$5:$J$20,'AR Tracker'!$K$5:$K$20,"&gt;0")</f>
        <v>23820</v>
      </c>
      <c r="E10" s="16"/>
      <c r="F10" s="15">
        <f>IFERROR(D10/B10,0)</f>
        <v>0.543463381245722</v>
      </c>
      <c r="G10" s="15"/>
      <c r="H10" s="14">
        <f>COUNTIFS('AR Tracker'!$O$5:$O$20,"&lt;="&amp;AsOfDate,'AR Tracker'!$J$5:$J$20,"&gt;0")</f>
        <v>6</v>
      </c>
      <c r="I10" s="14"/>
    </row>
    <row r="12" spans="2:9" x14ac:dyDescent="0.25">
      <c r="B12" s="4" t="s">
        <v>73</v>
      </c>
      <c r="C12" s="4"/>
      <c r="D12" s="4"/>
      <c r="E12" s="4"/>
      <c r="F12" s="4"/>
      <c r="G12" s="4"/>
      <c r="H12" s="4"/>
      <c r="I12" s="4"/>
    </row>
    <row r="13" spans="2:9" x14ac:dyDescent="0.25">
      <c r="B13" s="13" t="s">
        <v>74</v>
      </c>
      <c r="C13" s="13"/>
      <c r="D13" s="13" t="s">
        <v>75</v>
      </c>
      <c r="E13" s="13"/>
      <c r="F13" s="13" t="s">
        <v>76</v>
      </c>
      <c r="G13" s="13"/>
      <c r="H13" s="13" t="s">
        <v>77</v>
      </c>
      <c r="I13" s="13"/>
    </row>
    <row r="14" ht="34" customHeight="1" spans="2:9" x14ac:dyDescent="0.25">
      <c r="B14" s="14">
        <f>COUNTA('CRM Pipeline'!$G$5:$G$18)-COUNTIF('CRM Pipeline'!$G$5:$G$18,"Won")-COUNTIF('CRM Pipeline'!$G$5:$G$18,"Lost")</f>
        <v>11</v>
      </c>
      <c r="C14" s="14"/>
      <c r="D14" s="16">
        <f>SUMIFS('CRM Pipeline'!$J$5:$J$18,'CRM Pipeline'!$G$5:$G$18,"&lt;&gt;Won",'CRM Pipeline'!$G$5:$G$18,"&lt;&gt;Lost")</f>
        <v>12330</v>
      </c>
      <c r="E14" s="16"/>
      <c r="F14" s="16">
        <f>SUMIFS('CRM Pipeline'!$H$5:$H$18,'CRM Pipeline'!$G$5:$G$18,"Won")</f>
        <v>8400</v>
      </c>
      <c r="G14" s="16"/>
      <c r="H14" s="14">
        <f>COUNTIF('CRM Pipeline'!$O$5:$O$18,"Overdue")+COUNTIF('CRM Pipeline'!$O$5:$O$18,"Due today")</f>
        <v>5</v>
      </c>
      <c r="I14" s="14"/>
    </row>
    <row r="16" spans="2:9" x14ac:dyDescent="0.25">
      <c r="B16" s="4" t="s">
        <v>78</v>
      </c>
      <c r="C16" s="4"/>
      <c r="D16" s="4"/>
      <c r="E16" s="4"/>
      <c r="F16" s="4"/>
      <c r="G16" s="4"/>
      <c r="H16" s="4"/>
      <c r="I16" s="4"/>
    </row>
    <row r="17" spans="2:9" x14ac:dyDescent="0.25">
      <c r="B17" s="13" t="s">
        <v>79</v>
      </c>
      <c r="C17" s="13"/>
      <c r="D17" s="13" t="s">
        <v>80</v>
      </c>
      <c r="E17" s="13"/>
      <c r="F17" s="13" t="s">
        <v>81</v>
      </c>
      <c r="G17" s="13"/>
      <c r="H17" s="13" t="s">
        <v>82</v>
      </c>
      <c r="I17" s="13"/>
    </row>
    <row r="18" ht="34" customHeight="1" spans="2:9" x14ac:dyDescent="0.25">
      <c r="B18" s="14">
        <f>COUNTIF('Meeting Actions'!$K$5:$K$18,"&lt;&gt;Closed")</f>
        <v>10</v>
      </c>
      <c r="C18" s="14"/>
      <c r="D18" s="14">
        <f>COUNTIF('Meeting Actions'!$K$5:$K$18,"Overdue")</f>
        <v>3</v>
      </c>
      <c r="E18" s="14"/>
      <c r="F18" s="15">
        <f>'Event &amp; CPD Tracker'!$H$6</f>
        <v>0.875</v>
      </c>
      <c r="G18" s="15"/>
      <c r="H18" s="15">
        <f>AVERAGE('Onboarding Tracker'!$M$5:$M$10)</f>
        <v>0.541666666666667</v>
      </c>
      <c r="I18" s="15"/>
    </row>
    <row r="20" spans="2:9" x14ac:dyDescent="0.25">
      <c r="B20" s="4" t="s">
        <v>83</v>
      </c>
      <c r="C20" s="4"/>
      <c r="D20" s="4"/>
      <c r="E20" s="4"/>
      <c r="F20" s="4"/>
      <c r="G20" s="4"/>
      <c r="H20" s="4"/>
      <c r="I20" s="4"/>
    </row>
    <row r="21" ht="20" customHeight="1" spans="2:5" x14ac:dyDescent="0.25">
      <c r="B21" s="10" t="s">
        <v>84</v>
      </c>
      <c r="C21" s="10"/>
      <c r="D21" s="10" t="s">
        <v>85</v>
      </c>
      <c r="E21" s="10" t="s">
        <v>86</v>
      </c>
    </row>
    <row r="22" spans="2:5" x14ac:dyDescent="0.25">
      <c r="B22" s="8" t="s">
        <v>87</v>
      </c>
      <c r="C22" s="8"/>
      <c r="D22" s="17">
        <f>COUNTIF('Task Tracker'!$M$5:$M$22,"Overdue")</f>
        <v>3</v>
      </c>
      <c r="E22" s="12" t="s">
        <v>88</v>
      </c>
    </row>
    <row r="23" spans="2:5" x14ac:dyDescent="0.25">
      <c r="B23" s="8" t="s">
        <v>89</v>
      </c>
      <c r="C23" s="8"/>
      <c r="D23" s="17">
        <f>COUNTIF('AR Tracker'!$N$5:$N$20,"Escalate to manager")</f>
        <v>2</v>
      </c>
      <c r="E23" s="12" t="s">
        <v>90</v>
      </c>
    </row>
    <row r="24" spans="2:5" x14ac:dyDescent="0.25">
      <c r="B24" s="8" t="s">
        <v>91</v>
      </c>
      <c r="C24" s="8"/>
      <c r="D24" s="17">
        <f>COUNTIF('CRM Pipeline'!$O$5:$O$18,"Overdue")</f>
        <v>4</v>
      </c>
      <c r="E24" s="12" t="s">
        <v>92</v>
      </c>
    </row>
    <row r="25" spans="2:5" x14ac:dyDescent="0.25">
      <c r="B25" s="8" t="s">
        <v>93</v>
      </c>
      <c r="C25" s="8"/>
      <c r="D25" s="17">
        <f>'Event &amp; CPD Tracker'!$H$8</f>
        <v>5</v>
      </c>
      <c r="E25" s="12" t="s">
        <v>94</v>
      </c>
    </row>
    <row r="26" spans="2:5" x14ac:dyDescent="0.25">
      <c r="B26" s="8" t="s">
        <v>95</v>
      </c>
      <c r="C26" s="8"/>
      <c r="D26" s="17">
        <f>COUNTIF('SOP Library'!$K$5:$K$9,"&lt;&gt;Current")</f>
        <v>2</v>
      </c>
      <c r="E26" s="12" t="s">
        <v>96</v>
      </c>
    </row>
    <row r="27" spans="2:5" x14ac:dyDescent="0.25">
      <c r="B27" s="8" t="s">
        <v>97</v>
      </c>
      <c r="C27" s="8"/>
      <c r="D27" s="17">
        <f>COUNTIF('Travel Planner'!$I$11:$I$20,"&lt;&gt;Booked")</f>
        <v>3</v>
      </c>
      <c r="E27" s="12" t="s">
        <v>98</v>
      </c>
    </row>
  </sheetData>
  <mergeCells count="45">
    <mergeCell ref="B2:I2"/>
    <mergeCell ref="B4:I4"/>
    <mergeCell ref="B5:C5"/>
    <mergeCell ref="D5:E5"/>
    <mergeCell ref="F5:G5"/>
    <mergeCell ref="H5:I5"/>
    <mergeCell ref="B6:C6"/>
    <mergeCell ref="D6:E6"/>
    <mergeCell ref="F6:G6"/>
    <mergeCell ref="H6:I6"/>
    <mergeCell ref="B8:I8"/>
    <mergeCell ref="B9:C9"/>
    <mergeCell ref="D9:E9"/>
    <mergeCell ref="F9:G9"/>
    <mergeCell ref="H9:I9"/>
    <mergeCell ref="B10:C10"/>
    <mergeCell ref="D10:E10"/>
    <mergeCell ref="F10:G10"/>
    <mergeCell ref="H10:I10"/>
    <mergeCell ref="B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6:I16"/>
    <mergeCell ref="B17:C17"/>
    <mergeCell ref="D17:E17"/>
    <mergeCell ref="F17:G17"/>
    <mergeCell ref="H17:I17"/>
    <mergeCell ref="B18:C18"/>
    <mergeCell ref="D18:E18"/>
    <mergeCell ref="F18:G18"/>
    <mergeCell ref="H18:I18"/>
    <mergeCell ref="B20:I20"/>
    <mergeCell ref="B21:C21"/>
    <mergeCell ref="B22:C22"/>
    <mergeCell ref="B23:C23"/>
    <mergeCell ref="B24:C24"/>
    <mergeCell ref="B25:C25"/>
    <mergeCell ref="B26:C26"/>
    <mergeCell ref="B27:C27"/>
  </mergeCells>
  <conditionalFormatting sqref="D22:D27">
    <cfRule type="expression" dxfId="0" priority="1">
      <formula>D22&gt;0</formula>
    </cfRule>
  </conditionalFormatting>
  <hyperlinks>
    <hyperlink ref="E22" r:id="rId1" location="#'Task Tracker'!A1"/>
    <hyperlink ref="E23" r:id="rId2" location="#'AR Tracker'!A1"/>
    <hyperlink ref="E24" r:id="rId3" location="#'CRM Pipeline'!A1"/>
    <hyperlink ref="E25" r:id="rId4" location="#'Event &amp; CPD Tracker'!A1"/>
    <hyperlink ref="E26" r:id="rId5" location="#'SOP Library'!A1"/>
    <hyperlink ref="E27" r:id="rId6" location="#'Travel Planner'!A1"/>
  </hyperlink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0020"/>
    <pageSetUpPr fitToPage="1"/>
  </sheetPr>
  <dimension ref="B1:D29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34" customWidth="1"/>
    <col min="3" max="3" width="18" customWidth="1"/>
    <col min="4" max="4" width="60" customWidth="1"/>
  </cols>
  <sheetData>
    <row r="1" ht="32" customHeight="1" spans="2:2" x14ac:dyDescent="0.25">
      <c r="B1" s="1" t="s">
        <v>99</v>
      </c>
    </row>
    <row r="2" spans="2:4" x14ac:dyDescent="0.25">
      <c r="B2" s="2" t="str">
        <f>"Week ending "&amp;DAY(AsOfDate)&amp;"/"&amp;MONTH(AsOfDate)&amp;"/"&amp;YEAR(AsOfDate)&amp;" · prepared by Ali Puchero, Executive Assistant"</f>
        <v>Week ending 30/10/2026 · prepared by Ali Puchero, Executive Assistant</v>
      </c>
      <c r="C2" s="2"/>
      <c r="D2" s="2"/>
    </row>
    <row r="4" spans="2:4" x14ac:dyDescent="0.25">
      <c r="B4" s="4" t="s">
        <v>100</v>
      </c>
      <c r="C4" s="4"/>
      <c r="D4" s="4"/>
    </row>
    <row r="5" ht="20" customHeight="1" spans="2:4" x14ac:dyDescent="0.25">
      <c r="B5" s="10" t="s">
        <v>101</v>
      </c>
      <c r="C5" s="10" t="s">
        <v>102</v>
      </c>
      <c r="D5" s="10" t="s">
        <v>103</v>
      </c>
    </row>
    <row r="6" spans="2:4" x14ac:dyDescent="0.25">
      <c r="B6" s="8" t="s">
        <v>64</v>
      </c>
      <c r="C6" s="18">
        <f>Dashboard!B6</f>
        <v>14</v>
      </c>
      <c r="D6" s="8" t="s">
        <v>104</v>
      </c>
    </row>
    <row r="7" spans="2:4" x14ac:dyDescent="0.25">
      <c r="B7" s="8" t="s">
        <v>65</v>
      </c>
      <c r="C7" s="18">
        <f>Dashboard!D6</f>
        <v>3</v>
      </c>
      <c r="D7" s="8" t="s">
        <v>105</v>
      </c>
    </row>
    <row r="8" spans="2:4" x14ac:dyDescent="0.25">
      <c r="B8" s="8" t="s">
        <v>69</v>
      </c>
      <c r="C8" s="19">
        <f>Dashboard!B10</f>
        <v>43830</v>
      </c>
      <c r="D8" s="8" t="s">
        <v>106</v>
      </c>
    </row>
    <row r="9" spans="2:4" x14ac:dyDescent="0.25">
      <c r="B9" s="8" t="s">
        <v>70</v>
      </c>
      <c r="C9" s="19">
        <f>Dashboard!D10</f>
        <v>23820</v>
      </c>
      <c r="D9" s="8" t="s">
        <v>107</v>
      </c>
    </row>
    <row r="10" spans="2:4" x14ac:dyDescent="0.25">
      <c r="B10" s="8" t="s">
        <v>75</v>
      </c>
      <c r="C10" s="19">
        <f>Dashboard!D14</f>
        <v>12330</v>
      </c>
      <c r="D10" s="8" t="s">
        <v>108</v>
      </c>
    </row>
    <row r="11" spans="2:4" x14ac:dyDescent="0.25">
      <c r="B11" s="8" t="s">
        <v>79</v>
      </c>
      <c r="C11" s="18">
        <f>Dashboard!B18</f>
        <v>10</v>
      </c>
      <c r="D11" s="8" t="s">
        <v>109</v>
      </c>
    </row>
    <row r="12" spans="2:4" x14ac:dyDescent="0.25">
      <c r="B12" s="8" t="s">
        <v>81</v>
      </c>
      <c r="C12" s="20">
        <f>Dashboard!F18</f>
        <v>0.875</v>
      </c>
      <c r="D12" s="8" t="s">
        <v>110</v>
      </c>
    </row>
    <row r="13" spans="2:4" x14ac:dyDescent="0.25">
      <c r="B13" s="8" t="s">
        <v>82</v>
      </c>
      <c r="C13" s="20">
        <f>Dashboard!H18</f>
        <v>0.541666666666667</v>
      </c>
      <c r="D13" s="8" t="s">
        <v>111</v>
      </c>
    </row>
    <row r="15" spans="2:4" x14ac:dyDescent="0.25">
      <c r="B15" s="4" t="s">
        <v>112</v>
      </c>
      <c r="C15" s="4"/>
      <c r="D15" s="4"/>
    </row>
    <row r="16" spans="2:4" x14ac:dyDescent="0.25">
      <c r="B16" s="8" t="s">
        <v>113</v>
      </c>
      <c r="C16" s="8"/>
      <c r="D16" s="8"/>
    </row>
    <row r="17" spans="2:4" x14ac:dyDescent="0.25">
      <c r="B17" s="8" t="s">
        <v>114</v>
      </c>
      <c r="C17" s="8"/>
      <c r="D17" s="8"/>
    </row>
    <row r="18" spans="2:4" x14ac:dyDescent="0.25">
      <c r="B18" s="8" t="s">
        <v>115</v>
      </c>
      <c r="C18" s="8"/>
      <c r="D18" s="8"/>
    </row>
    <row r="19" spans="2:4" x14ac:dyDescent="0.25">
      <c r="B19" s="8" t="s">
        <v>116</v>
      </c>
      <c r="C19" s="8"/>
      <c r="D19" s="8"/>
    </row>
    <row r="21" spans="2:4" x14ac:dyDescent="0.25">
      <c r="B21" s="4" t="s">
        <v>117</v>
      </c>
      <c r="C21" s="4"/>
      <c r="D21" s="4"/>
    </row>
    <row r="22" spans="2:4" x14ac:dyDescent="0.25">
      <c r="B22" s="8" t="s">
        <v>118</v>
      </c>
      <c r="C22" s="8"/>
      <c r="D22" s="8"/>
    </row>
    <row r="23" spans="2:4" x14ac:dyDescent="0.25">
      <c r="B23" s="8" t="s">
        <v>119</v>
      </c>
      <c r="C23" s="8"/>
      <c r="D23" s="8"/>
    </row>
    <row r="25" spans="2:4" x14ac:dyDescent="0.25">
      <c r="B25" s="4" t="s">
        <v>120</v>
      </c>
      <c r="C25" s="4"/>
      <c r="D25" s="4"/>
    </row>
    <row r="26" spans="2:4" x14ac:dyDescent="0.25">
      <c r="B26" s="8" t="s">
        <v>121</v>
      </c>
      <c r="C26" s="8"/>
      <c r="D26" s="8"/>
    </row>
    <row r="27" spans="2:4" x14ac:dyDescent="0.25">
      <c r="B27" s="8" t="s">
        <v>122</v>
      </c>
      <c r="C27" s="8"/>
      <c r="D27" s="8"/>
    </row>
    <row r="28" spans="2:4" x14ac:dyDescent="0.25">
      <c r="B28" s="8" t="s">
        <v>123</v>
      </c>
      <c r="C28" s="8"/>
      <c r="D28" s="8"/>
    </row>
    <row r="29" spans="2:4" x14ac:dyDescent="0.25">
      <c r="B29" s="8" t="s">
        <v>124</v>
      </c>
      <c r="C29" s="8"/>
      <c r="D29" s="8"/>
    </row>
  </sheetData>
  <mergeCells count="15">
    <mergeCell ref="B2:D2"/>
    <mergeCell ref="B4:D4"/>
    <mergeCell ref="B15:D15"/>
    <mergeCell ref="B16:D16"/>
    <mergeCell ref="B17:D17"/>
    <mergeCell ref="B18:D18"/>
    <mergeCell ref="B19:D19"/>
    <mergeCell ref="B21:D21"/>
    <mergeCell ref="B22:D22"/>
    <mergeCell ref="B23:D23"/>
    <mergeCell ref="B25:D25"/>
    <mergeCell ref="B26:D26"/>
    <mergeCell ref="B27:D27"/>
    <mergeCell ref="B28:D28"/>
    <mergeCell ref="B29:D2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4A5E"/>
    <pageSetUpPr fitToPage="1"/>
  </sheetPr>
  <dimension ref="B1:L9"/>
  <sheetViews>
    <sheetView workbookViewId="0" showGridLines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2" customWidth="1"/>
    <col min="2" max="2" width="10" customWidth="1"/>
    <col min="3" max="3" width="38" customWidth="1"/>
    <col min="4" max="5" width="20" customWidth="1"/>
    <col min="7" max="7" width="14" customWidth="1"/>
    <col min="8" max="8" width="12" customWidth="1"/>
    <col min="9" max="9" width="14" customWidth="1"/>
    <col min="10" max="10" width="11" customWidth="1"/>
    <col min="11" max="12" width="12" customWidth="1"/>
  </cols>
  <sheetData>
    <row r="1" ht="32" customHeight="1" spans="2:2" x14ac:dyDescent="0.25">
      <c r="B1" s="1" t="s">
        <v>23</v>
      </c>
    </row>
    <row r="2" ht="18" customHeight="1" spans="2:11" x14ac:dyDescent="0.25">
      <c r="B2" s="2" t="s">
        <v>125</v>
      </c>
      <c r="C2" s="2"/>
      <c r="D2" s="2"/>
      <c r="E2" s="2"/>
      <c r="F2" s="2"/>
      <c r="G2" s="2"/>
      <c r="H2" s="2"/>
      <c r="I2" s="2"/>
      <c r="J2" s="2"/>
      <c r="K2" s="2"/>
    </row>
    <row r="4" ht="30" customHeight="1" spans="2:12" x14ac:dyDescent="0.25">
      <c r="B4" s="10" t="s">
        <v>126</v>
      </c>
      <c r="C4" s="10" t="s">
        <v>127</v>
      </c>
      <c r="D4" s="10" t="s">
        <v>128</v>
      </c>
      <c r="E4" s="10" t="s">
        <v>129</v>
      </c>
      <c r="F4" s="10" t="s">
        <v>130</v>
      </c>
      <c r="G4" s="10" t="s">
        <v>131</v>
      </c>
      <c r="H4" s="10" t="s">
        <v>132</v>
      </c>
      <c r="I4" s="10" t="s">
        <v>133</v>
      </c>
      <c r="J4" s="10" t="s">
        <v>134</v>
      </c>
      <c r="K4" s="10" t="s">
        <v>135</v>
      </c>
      <c r="L4" s="10" t="s">
        <v>136</v>
      </c>
    </row>
    <row r="5" spans="2:12" x14ac:dyDescent="0.25">
      <c r="B5" s="8" t="s">
        <v>137</v>
      </c>
      <c r="C5" s="8" t="s">
        <v>138</v>
      </c>
      <c r="D5" s="8" t="s">
        <v>139</v>
      </c>
      <c r="E5" s="8" t="s">
        <v>140</v>
      </c>
      <c r="F5" s="8" t="s">
        <v>141</v>
      </c>
      <c r="G5" s="21">
        <v>46237</v>
      </c>
      <c r="H5" s="22">
        <v>6</v>
      </c>
      <c r="I5" s="23">
        <f>EDATE(G5,H5)</f>
        <v>46421</v>
      </c>
      <c r="J5" s="24">
        <f>I5-AsOfDate</f>
        <v>96</v>
      </c>
      <c r="K5" s="9" t="str">
        <f>IF(J5&lt;0,"Overdue",IF(J5&lt;=30,"Due soon","Current"))</f>
        <v>Current</v>
      </c>
      <c r="L5" s="12" t="s">
        <v>142</v>
      </c>
    </row>
    <row r="6" spans="2:12" x14ac:dyDescent="0.25">
      <c r="B6" s="8" t="s">
        <v>143</v>
      </c>
      <c r="C6" s="8" t="s">
        <v>144</v>
      </c>
      <c r="D6" s="8" t="s">
        <v>139</v>
      </c>
      <c r="E6" s="8" t="s">
        <v>140</v>
      </c>
      <c r="F6" s="8" t="s">
        <v>145</v>
      </c>
      <c r="G6" s="21">
        <v>46157</v>
      </c>
      <c r="H6" s="22">
        <v>6</v>
      </c>
      <c r="I6" s="23">
        <f>EDATE(G6,H6)</f>
        <v>46341</v>
      </c>
      <c r="J6" s="24">
        <f>I6-AsOfDate</f>
        <v>16</v>
      </c>
      <c r="K6" s="9" t="str">
        <f>IF(J6&lt;0,"Overdue",IF(J6&lt;=30,"Due soon","Current"))</f>
        <v>Due soon</v>
      </c>
      <c r="L6" s="12" t="s">
        <v>146</v>
      </c>
    </row>
    <row r="7" spans="2:12" x14ac:dyDescent="0.25">
      <c r="B7" s="8" t="s">
        <v>147</v>
      </c>
      <c r="C7" s="8" t="s">
        <v>148</v>
      </c>
      <c r="D7" s="8" t="s">
        <v>149</v>
      </c>
      <c r="E7" s="8" t="s">
        <v>140</v>
      </c>
      <c r="F7" s="8" t="s">
        <v>150</v>
      </c>
      <c r="G7" s="21">
        <v>46224</v>
      </c>
      <c r="H7" s="22">
        <v>12</v>
      </c>
      <c r="I7" s="23">
        <f>EDATE(G7,H7)</f>
        <v>46589</v>
      </c>
      <c r="J7" s="24">
        <f>I7-AsOfDate</f>
        <v>264</v>
      </c>
      <c r="K7" s="9" t="str">
        <f>IF(J7&lt;0,"Overdue",IF(J7&lt;=30,"Due soon","Current"))</f>
        <v>Current</v>
      </c>
      <c r="L7" s="12" t="s">
        <v>151</v>
      </c>
    </row>
    <row r="8" spans="2:12" x14ac:dyDescent="0.25">
      <c r="B8" s="8" t="s">
        <v>152</v>
      </c>
      <c r="C8" s="8" t="s">
        <v>153</v>
      </c>
      <c r="D8" s="8" t="s">
        <v>154</v>
      </c>
      <c r="E8" s="8" t="s">
        <v>140</v>
      </c>
      <c r="F8" s="8" t="s">
        <v>155</v>
      </c>
      <c r="G8" s="21">
        <v>46266</v>
      </c>
      <c r="H8" s="22">
        <v>6</v>
      </c>
      <c r="I8" s="23">
        <f>EDATE(G8,H8)</f>
        <v>46447</v>
      </c>
      <c r="J8" s="24">
        <f>I8-AsOfDate</f>
        <v>122</v>
      </c>
      <c r="K8" s="9" t="str">
        <f>IF(J8&lt;0,"Overdue",IF(J8&lt;=30,"Due soon","Current"))</f>
        <v>Current</v>
      </c>
      <c r="L8" s="12" t="s">
        <v>156</v>
      </c>
    </row>
    <row r="9" spans="2:12" x14ac:dyDescent="0.25">
      <c r="B9" s="8" t="s">
        <v>157</v>
      </c>
      <c r="C9" s="8" t="s">
        <v>158</v>
      </c>
      <c r="D9" s="8" t="s">
        <v>159</v>
      </c>
      <c r="E9" s="8" t="s">
        <v>140</v>
      </c>
      <c r="F9" s="8" t="s">
        <v>145</v>
      </c>
      <c r="G9" s="21">
        <v>46132</v>
      </c>
      <c r="H9" s="22">
        <v>6</v>
      </c>
      <c r="I9" s="23">
        <f>EDATE(G9,H9)</f>
        <v>46315</v>
      </c>
      <c r="J9" s="24">
        <f>I9-AsOfDate</f>
        <v>-10</v>
      </c>
      <c r="K9" s="9" t="str">
        <f>IF(J9&lt;0,"Overdue",IF(J9&lt;=30,"Due soon","Current"))</f>
        <v>Overdue</v>
      </c>
      <c r="L9" s="12" t="s">
        <v>160</v>
      </c>
    </row>
  </sheetData>
  <mergeCells count="1">
    <mergeCell ref="B2:K2"/>
  </mergeCells>
  <conditionalFormatting sqref="K5:K9">
    <cfRule type="expression" dxfId="1" priority="1">
      <formula>K5="Overdue"</formula>
    </cfRule>
  </conditionalFormatting>
  <conditionalFormatting sqref="K5:K9">
    <cfRule type="expression" dxfId="2" priority="2">
      <formula>K5="Due soon"</formula>
    </cfRule>
  </conditionalFormatting>
  <dataValidations count="1">
    <dataValidation type="list" allowBlank="1" showErrorMessage="1" errorTitle="Pick from the list" error="Please choose one of the options in the drop-down list." sqref="D5:D9">
      <formula1>Lists!$I$2:$I$5</formula1>
    </dataValidation>
  </dataValidations>
  <hyperlinks>
    <hyperlink ref="L5" r:id="rId1" location="#'SOP-01 Inbox'!A1"/>
    <hyperlink ref="L6" r:id="rId2" location="#'SOP-02 Meetings'!A1"/>
    <hyperlink ref="L7" r:id="rId3" location="#'SOP-03 Onboarding'!A1"/>
    <hyperlink ref="L8" r:id="rId4" location="#'SOP-04 AR Follow-up'!A1"/>
    <hyperlink ref="L9" r:id="rId5" location="#'SOP-05 Webinars &amp; CPD'!A1"/>
  </hyperlink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4A5E"/>
    <pageSetUpPr fitToPage="1"/>
  </sheetPr>
  <dimension ref="B1:G39"/>
  <sheetViews>
    <sheetView workbookViewId="0" showGridLines="0">
      <pane ySplit="3" topLeftCell="A4" activePane="bottomLeft" state="frozen"/>
      <selection pane="bottomLeft"/>
    </sheetView>
  </sheetViews>
  <sheetFormatPr defaultRowHeight="16" outlineLevelRow="0" outlineLevelCol="0" x14ac:dyDescent="55" customHeight="1"/>
  <cols>
    <col min="1" max="1" width="2" customWidth="1"/>
    <col min="2" max="2" width="7" customWidth="1"/>
    <col min="3" max="3" width="16" customWidth="1"/>
    <col min="4" max="4" width="34" customWidth="1"/>
    <col min="5" max="5" width="46" customWidth="1"/>
    <col min="6" max="6" width="18" customWidth="1"/>
    <col min="7" max="7" width="30" customWidth="1"/>
  </cols>
  <sheetData>
    <row r="1" ht="32" customHeight="1" spans="2:2" x14ac:dyDescent="0.25">
      <c r="B1" s="1" t="s">
        <v>161</v>
      </c>
    </row>
    <row r="2" ht="18" customHeight="1" spans="2:7" x14ac:dyDescent="0.25">
      <c r="B2" s="2" t="s">
        <v>162</v>
      </c>
      <c r="C2" s="2"/>
      <c r="D2" s="2"/>
      <c r="E2" s="2"/>
      <c r="F2" s="2"/>
      <c r="G2" s="2"/>
    </row>
    <row r="4" ht="34" customHeight="1" spans="2:7" x14ac:dyDescent="0.25">
      <c r="B4" s="5" t="s">
        <v>163</v>
      </c>
      <c r="C4" s="5"/>
      <c r="D4" s="8" t="s">
        <v>164</v>
      </c>
      <c r="E4" s="8"/>
      <c r="F4" s="8"/>
      <c r="G4" s="8"/>
    </row>
    <row r="5" ht="34" customHeight="1" spans="2:7" x14ac:dyDescent="0.25">
      <c r="B5" s="5" t="s">
        <v>165</v>
      </c>
      <c r="C5" s="5"/>
      <c r="D5" s="8" t="s">
        <v>166</v>
      </c>
      <c r="E5" s="8"/>
      <c r="F5" s="8"/>
      <c r="G5" s="8"/>
    </row>
    <row r="6" ht="19" customHeight="1" spans="2:7" x14ac:dyDescent="0.25">
      <c r="B6" s="5" t="s">
        <v>167</v>
      </c>
      <c r="C6" s="5"/>
      <c r="D6" s="8" t="s">
        <v>168</v>
      </c>
      <c r="E6" s="8"/>
      <c r="F6" s="8"/>
      <c r="G6" s="8"/>
    </row>
    <row r="7" ht="19" customHeight="1" spans="2:7" x14ac:dyDescent="0.25">
      <c r="B7" s="5" t="s">
        <v>129</v>
      </c>
      <c r="C7" s="5"/>
      <c r="D7" s="8" t="s">
        <v>169</v>
      </c>
      <c r="E7" s="8"/>
      <c r="F7" s="8"/>
      <c r="G7" s="8"/>
    </row>
    <row r="8" ht="19" customHeight="1" spans="2:7" x14ac:dyDescent="0.25">
      <c r="B8" s="5" t="s">
        <v>170</v>
      </c>
      <c r="C8" s="5"/>
      <c r="D8" s="8" t="s">
        <v>171</v>
      </c>
      <c r="E8" s="8"/>
      <c r="F8" s="8"/>
      <c r="G8" s="8"/>
    </row>
    <row r="9" ht="19" customHeight="1" spans="2:7" x14ac:dyDescent="0.25">
      <c r="B9" s="5" t="s">
        <v>172</v>
      </c>
      <c r="C9" s="5"/>
      <c r="D9" s="8" t="s">
        <v>173</v>
      </c>
      <c r="E9" s="8"/>
      <c r="F9" s="8"/>
      <c r="G9" s="8"/>
    </row>
    <row r="11" spans="2:7" x14ac:dyDescent="0.25">
      <c r="B11" s="4" t="s">
        <v>174</v>
      </c>
      <c r="C11" s="4"/>
      <c r="D11" s="4"/>
      <c r="E11" s="4"/>
      <c r="F11" s="4"/>
      <c r="G11" s="4"/>
    </row>
    <row r="12" ht="30" customHeight="1" spans="2:7" x14ac:dyDescent="0.25">
      <c r="B12" s="10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</row>
    <row r="13" ht="45" customHeight="1" spans="2:7" x14ac:dyDescent="0.25">
      <c r="B13" s="25">
        <f>ROW()-12</f>
        <v>1</v>
      </c>
      <c r="C13" s="8" t="s">
        <v>181</v>
      </c>
      <c r="D13" s="8" t="s">
        <v>182</v>
      </c>
      <c r="E13" s="8" t="s">
        <v>183</v>
      </c>
      <c r="F13" s="8" t="s">
        <v>184</v>
      </c>
      <c r="G13" s="8" t="s">
        <v>185</v>
      </c>
    </row>
    <row r="14" ht="45" customHeight="1" spans="2:7" x14ac:dyDescent="0.25">
      <c r="B14" s="25">
        <f>ROW()-12</f>
        <v>2</v>
      </c>
      <c r="C14" s="8" t="s">
        <v>186</v>
      </c>
      <c r="D14" s="8" t="s">
        <v>187</v>
      </c>
      <c r="E14" s="8" t="s">
        <v>188</v>
      </c>
      <c r="F14" s="8" t="s">
        <v>184</v>
      </c>
      <c r="G14" s="8" t="s">
        <v>189</v>
      </c>
    </row>
    <row r="15" ht="45" customHeight="1" spans="2:7" x14ac:dyDescent="0.25">
      <c r="B15" s="25">
        <f>ROW()-12</f>
        <v>3</v>
      </c>
      <c r="C15" s="8" t="s">
        <v>186</v>
      </c>
      <c r="D15" s="8" t="s">
        <v>190</v>
      </c>
      <c r="E15" s="8" t="s">
        <v>191</v>
      </c>
      <c r="F15" s="8" t="s">
        <v>192</v>
      </c>
      <c r="G15" s="8" t="s">
        <v>193</v>
      </c>
    </row>
    <row r="16" ht="45" customHeight="1" spans="2:7" x14ac:dyDescent="0.25">
      <c r="B16" s="25">
        <f>ROW()-12</f>
        <v>4</v>
      </c>
      <c r="C16" s="8" t="s">
        <v>177</v>
      </c>
      <c r="D16" s="8" t="s">
        <v>194</v>
      </c>
      <c r="E16" s="8" t="s">
        <v>195</v>
      </c>
      <c r="F16" s="8" t="s">
        <v>196</v>
      </c>
      <c r="G16" s="8" t="s">
        <v>197</v>
      </c>
    </row>
    <row r="17" ht="45" customHeight="1" spans="2:7" x14ac:dyDescent="0.25">
      <c r="B17" s="25">
        <f>ROW()-12</f>
        <v>5</v>
      </c>
      <c r="C17" s="8" t="s">
        <v>177</v>
      </c>
      <c r="D17" s="8" t="s">
        <v>198</v>
      </c>
      <c r="E17" s="8" t="s">
        <v>199</v>
      </c>
      <c r="F17" s="8" t="s">
        <v>36</v>
      </c>
      <c r="G17" s="8" t="s">
        <v>200</v>
      </c>
    </row>
    <row r="18" ht="45" customHeight="1" spans="2:7" x14ac:dyDescent="0.25">
      <c r="B18" s="25">
        <f>ROW()-12</f>
        <v>6</v>
      </c>
      <c r="C18" s="8" t="s">
        <v>177</v>
      </c>
      <c r="D18" s="8" t="s">
        <v>201</v>
      </c>
      <c r="E18" s="8" t="s">
        <v>202</v>
      </c>
      <c r="F18" s="8" t="s">
        <v>203</v>
      </c>
      <c r="G18" s="8" t="s">
        <v>204</v>
      </c>
    </row>
    <row r="19" ht="32" customHeight="1" spans="2:7" x14ac:dyDescent="0.25">
      <c r="B19" s="25">
        <f>ROW()-12</f>
        <v>7</v>
      </c>
      <c r="C19" s="8" t="s">
        <v>205</v>
      </c>
      <c r="D19" s="8" t="s">
        <v>206</v>
      </c>
      <c r="E19" s="8" t="s">
        <v>207</v>
      </c>
      <c r="F19" s="8" t="s">
        <v>208</v>
      </c>
      <c r="G19" s="8" t="s">
        <v>209</v>
      </c>
    </row>
    <row r="20" ht="45" customHeight="1" spans="2:7" x14ac:dyDescent="0.25">
      <c r="B20" s="25">
        <f>ROW()-12</f>
        <v>8</v>
      </c>
      <c r="C20" s="8" t="s">
        <v>210</v>
      </c>
      <c r="D20" s="8" t="s">
        <v>211</v>
      </c>
      <c r="E20" s="8" t="s">
        <v>212</v>
      </c>
      <c r="F20" s="8" t="s">
        <v>184</v>
      </c>
      <c r="G20" s="8" t="s">
        <v>213</v>
      </c>
    </row>
    <row r="22" spans="2:7" x14ac:dyDescent="0.25">
      <c r="B22" s="4" t="s">
        <v>214</v>
      </c>
      <c r="C22" s="4"/>
      <c r="D22" s="4"/>
      <c r="E22" s="4"/>
      <c r="F22" s="4"/>
      <c r="G22" s="4"/>
    </row>
    <row r="23" ht="17" customHeight="1" spans="2:7" x14ac:dyDescent="0.25">
      <c r="B23" s="26" t="s">
        <v>215</v>
      </c>
      <c r="C23" s="3" t="s">
        <v>216</v>
      </c>
      <c r="D23" s="3"/>
      <c r="E23" s="3"/>
      <c r="F23" s="3"/>
      <c r="G23" s="3"/>
    </row>
    <row r="24" ht="17" customHeight="1" spans="2:7" x14ac:dyDescent="0.25">
      <c r="B24" s="26" t="s">
        <v>215</v>
      </c>
      <c r="C24" s="3" t="s">
        <v>217</v>
      </c>
      <c r="D24" s="3"/>
      <c r="E24" s="3"/>
      <c r="F24" s="3"/>
      <c r="G24" s="3"/>
    </row>
    <row r="25" ht="17" customHeight="1" spans="2:7" x14ac:dyDescent="0.25">
      <c r="B25" s="26" t="s">
        <v>215</v>
      </c>
      <c r="C25" s="3" t="s">
        <v>218</v>
      </c>
      <c r="D25" s="3"/>
      <c r="E25" s="3"/>
      <c r="F25" s="3"/>
      <c r="G25" s="3"/>
    </row>
    <row r="27" spans="2:7" x14ac:dyDescent="0.25">
      <c r="B27" s="4" t="s">
        <v>219</v>
      </c>
      <c r="C27" s="4"/>
      <c r="D27" s="4"/>
      <c r="E27" s="4"/>
      <c r="F27" s="4"/>
      <c r="G27" s="4"/>
    </row>
    <row r="28" ht="17" customHeight="1" spans="2:7" x14ac:dyDescent="0.25">
      <c r="B28" s="26" t="s">
        <v>215</v>
      </c>
      <c r="C28" s="3" t="s">
        <v>220</v>
      </c>
      <c r="D28" s="3"/>
      <c r="E28" s="3"/>
      <c r="F28" s="3"/>
      <c r="G28" s="3"/>
    </row>
    <row r="29" ht="17" customHeight="1" spans="2:7" x14ac:dyDescent="0.25">
      <c r="B29" s="26" t="s">
        <v>215</v>
      </c>
      <c r="C29" s="3" t="s">
        <v>221</v>
      </c>
      <c r="D29" s="3"/>
      <c r="E29" s="3"/>
      <c r="F29" s="3"/>
      <c r="G29" s="3"/>
    </row>
    <row r="31" spans="2:7" x14ac:dyDescent="0.25">
      <c r="B31" s="4" t="s">
        <v>222</v>
      </c>
      <c r="C31" s="4"/>
      <c r="D31" s="4"/>
      <c r="E31" s="4"/>
      <c r="F31" s="4"/>
      <c r="G31" s="4"/>
    </row>
    <row r="32" ht="92" customHeight="1" spans="2:7" x14ac:dyDescent="0.25">
      <c r="B32" s="5" t="s">
        <v>223</v>
      </c>
      <c r="C32" s="5"/>
      <c r="D32" s="8" t="s">
        <v>224</v>
      </c>
      <c r="E32" s="8"/>
      <c r="F32" s="8"/>
      <c r="G32" s="8"/>
    </row>
    <row r="33" ht="64" customHeight="1" spans="2:7" x14ac:dyDescent="0.25">
      <c r="B33" s="5" t="s">
        <v>225</v>
      </c>
      <c r="C33" s="5"/>
      <c r="D33" s="8" t="s">
        <v>226</v>
      </c>
      <c r="E33" s="8"/>
      <c r="F33" s="8"/>
      <c r="G33" s="8"/>
    </row>
    <row r="35" spans="2:7" x14ac:dyDescent="0.25">
      <c r="B35" s="4" t="s">
        <v>227</v>
      </c>
      <c r="C35" s="4"/>
      <c r="D35" s="4"/>
      <c r="E35" s="4"/>
      <c r="F35" s="4"/>
      <c r="G35" s="4"/>
    </row>
    <row r="36" ht="20" customHeight="1" spans="2:5" x14ac:dyDescent="0.25">
      <c r="B36" s="10" t="s">
        <v>130</v>
      </c>
      <c r="C36" s="10" t="s">
        <v>228</v>
      </c>
      <c r="D36" s="10" t="s">
        <v>229</v>
      </c>
      <c r="E36" s="10" t="s">
        <v>230</v>
      </c>
    </row>
    <row r="37" spans="2:5" x14ac:dyDescent="0.25">
      <c r="B37" s="8" t="s">
        <v>150</v>
      </c>
      <c r="C37" s="21">
        <v>46062</v>
      </c>
      <c r="D37" s="8" t="s">
        <v>231</v>
      </c>
      <c r="E37" s="8" t="s">
        <v>232</v>
      </c>
    </row>
    <row r="38" spans="2:5" x14ac:dyDescent="0.25">
      <c r="B38" s="8" t="s">
        <v>145</v>
      </c>
      <c r="C38" s="21">
        <v>46146</v>
      </c>
      <c r="D38" s="8" t="s">
        <v>233</v>
      </c>
      <c r="E38" s="8" t="s">
        <v>232</v>
      </c>
    </row>
    <row r="39" spans="2:5" x14ac:dyDescent="0.25">
      <c r="B39" s="8" t="s">
        <v>141</v>
      </c>
      <c r="C39" s="21">
        <v>46237</v>
      </c>
      <c r="D39" s="8" t="s">
        <v>234</v>
      </c>
      <c r="E39" s="8" t="s">
        <v>232</v>
      </c>
    </row>
  </sheetData>
  <mergeCells count="27">
    <mergeCell ref="B2:G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1:G11"/>
    <mergeCell ref="B22:G22"/>
    <mergeCell ref="C23:G23"/>
    <mergeCell ref="C24:G24"/>
    <mergeCell ref="C25:G25"/>
    <mergeCell ref="B27:G27"/>
    <mergeCell ref="C28:G28"/>
    <mergeCell ref="C29:G29"/>
    <mergeCell ref="B31:G31"/>
    <mergeCell ref="B32:C32"/>
    <mergeCell ref="D32:G32"/>
    <mergeCell ref="B33:C33"/>
    <mergeCell ref="D33:G33"/>
    <mergeCell ref="B35:G3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4A5E"/>
    <pageSetUpPr fitToPage="1"/>
  </sheetPr>
  <dimension ref="B1:G35"/>
  <sheetViews>
    <sheetView workbookViewId="0" showGridLines="0">
      <pane ySplit="3" topLeftCell="A4" activePane="bottomLeft" state="frozen"/>
      <selection pane="bottomLeft"/>
    </sheetView>
  </sheetViews>
  <sheetFormatPr defaultRowHeight="16" outlineLevelRow="0" outlineLevelCol="0" x14ac:dyDescent="55" customHeight="1"/>
  <cols>
    <col min="1" max="1" width="2" customWidth="1"/>
    <col min="2" max="2" width="7" customWidth="1"/>
    <col min="3" max="3" width="16" customWidth="1"/>
    <col min="4" max="4" width="34" customWidth="1"/>
    <col min="5" max="5" width="46" customWidth="1"/>
    <col min="6" max="6" width="18" customWidth="1"/>
    <col min="7" max="7" width="30" customWidth="1"/>
  </cols>
  <sheetData>
    <row r="1" ht="32" customHeight="1" spans="2:2" x14ac:dyDescent="0.25">
      <c r="B1" s="1" t="s">
        <v>235</v>
      </c>
    </row>
    <row r="2" ht="18" customHeight="1" spans="2:7" x14ac:dyDescent="0.25">
      <c r="B2" s="2" t="s">
        <v>162</v>
      </c>
      <c r="C2" s="2"/>
      <c r="D2" s="2"/>
      <c r="E2" s="2"/>
      <c r="F2" s="2"/>
      <c r="G2" s="2"/>
    </row>
    <row r="4" ht="34" customHeight="1" spans="2:7" x14ac:dyDescent="0.25">
      <c r="B4" s="5" t="s">
        <v>163</v>
      </c>
      <c r="C4" s="5"/>
      <c r="D4" s="8" t="s">
        <v>236</v>
      </c>
      <c r="E4" s="8"/>
      <c r="F4" s="8"/>
      <c r="G4" s="8"/>
    </row>
    <row r="5" ht="19" customHeight="1" spans="2:7" x14ac:dyDescent="0.25">
      <c r="B5" s="5" t="s">
        <v>165</v>
      </c>
      <c r="C5" s="5"/>
      <c r="D5" s="8" t="s">
        <v>237</v>
      </c>
      <c r="E5" s="8"/>
      <c r="F5" s="8"/>
      <c r="G5" s="8"/>
    </row>
    <row r="6" ht="19" customHeight="1" spans="2:7" x14ac:dyDescent="0.25">
      <c r="B6" s="5" t="s">
        <v>167</v>
      </c>
      <c r="C6" s="5"/>
      <c r="D6" s="8" t="s">
        <v>238</v>
      </c>
      <c r="E6" s="8"/>
      <c r="F6" s="8"/>
      <c r="G6" s="8"/>
    </row>
    <row r="7" ht="19" customHeight="1" spans="2:7" x14ac:dyDescent="0.25">
      <c r="B7" s="5" t="s">
        <v>129</v>
      </c>
      <c r="C7" s="5"/>
      <c r="D7" s="8" t="s">
        <v>169</v>
      </c>
      <c r="E7" s="8"/>
      <c r="F7" s="8"/>
      <c r="G7" s="8"/>
    </row>
    <row r="8" ht="19" customHeight="1" spans="2:7" x14ac:dyDescent="0.25">
      <c r="B8" s="5" t="s">
        <v>170</v>
      </c>
      <c r="C8" s="5"/>
      <c r="D8" s="8" t="s">
        <v>239</v>
      </c>
      <c r="E8" s="8"/>
      <c r="F8" s="8"/>
      <c r="G8" s="8"/>
    </row>
    <row r="9" ht="34" customHeight="1" spans="2:7" x14ac:dyDescent="0.25">
      <c r="B9" s="5" t="s">
        <v>172</v>
      </c>
      <c r="C9" s="5"/>
      <c r="D9" s="8" t="s">
        <v>240</v>
      </c>
      <c r="E9" s="8"/>
      <c r="F9" s="8"/>
      <c r="G9" s="8"/>
    </row>
    <row r="11" spans="2:7" x14ac:dyDescent="0.25">
      <c r="B11" s="4" t="s">
        <v>174</v>
      </c>
      <c r="C11" s="4"/>
      <c r="D11" s="4"/>
      <c r="E11" s="4"/>
      <c r="F11" s="4"/>
      <c r="G11" s="4"/>
    </row>
    <row r="12" ht="30" customHeight="1" spans="2:7" x14ac:dyDescent="0.25">
      <c r="B12" s="10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</row>
    <row r="13" ht="45" customHeight="1" spans="2:7" x14ac:dyDescent="0.25">
      <c r="B13" s="25">
        <f>ROW()-12</f>
        <v>1</v>
      </c>
      <c r="C13" s="8" t="s">
        <v>241</v>
      </c>
      <c r="D13" s="8" t="s">
        <v>242</v>
      </c>
      <c r="E13" s="8" t="s">
        <v>243</v>
      </c>
      <c r="F13" s="8" t="s">
        <v>244</v>
      </c>
      <c r="G13" s="8" t="s">
        <v>245</v>
      </c>
    </row>
    <row r="14" ht="45" customHeight="1" spans="2:7" x14ac:dyDescent="0.25">
      <c r="B14" s="25">
        <f>ROW()-12</f>
        <v>2</v>
      </c>
      <c r="C14" s="8" t="s">
        <v>246</v>
      </c>
      <c r="D14" s="8" t="s">
        <v>247</v>
      </c>
      <c r="E14" s="8" t="s">
        <v>248</v>
      </c>
      <c r="F14" s="8" t="s">
        <v>249</v>
      </c>
      <c r="G14" s="8" t="s">
        <v>250</v>
      </c>
    </row>
    <row r="15" ht="32" customHeight="1" spans="2:7" x14ac:dyDescent="0.25">
      <c r="B15" s="25">
        <f>ROW()-12</f>
        <v>3</v>
      </c>
      <c r="C15" s="8" t="s">
        <v>181</v>
      </c>
      <c r="D15" s="8" t="s">
        <v>251</v>
      </c>
      <c r="E15" s="8" t="s">
        <v>252</v>
      </c>
      <c r="F15" s="8" t="s">
        <v>253</v>
      </c>
      <c r="G15" s="8" t="s">
        <v>254</v>
      </c>
    </row>
    <row r="16" ht="45" customHeight="1" spans="2:7" x14ac:dyDescent="0.25">
      <c r="B16" s="25">
        <f>ROW()-12</f>
        <v>4</v>
      </c>
      <c r="C16" s="8" t="s">
        <v>181</v>
      </c>
      <c r="D16" s="8" t="s">
        <v>255</v>
      </c>
      <c r="E16" s="8" t="s">
        <v>256</v>
      </c>
      <c r="F16" s="8" t="s">
        <v>257</v>
      </c>
      <c r="G16" s="8" t="s">
        <v>258</v>
      </c>
    </row>
    <row r="17" ht="32" customHeight="1" spans="2:7" x14ac:dyDescent="0.25">
      <c r="B17" s="25">
        <f>ROW()-12</f>
        <v>5</v>
      </c>
      <c r="C17" s="8" t="s">
        <v>259</v>
      </c>
      <c r="D17" s="8" t="s">
        <v>260</v>
      </c>
      <c r="E17" s="8" t="s">
        <v>261</v>
      </c>
      <c r="F17" s="8" t="s">
        <v>262</v>
      </c>
      <c r="G17" s="8" t="s">
        <v>263</v>
      </c>
    </row>
    <row r="18" ht="45" customHeight="1" spans="2:7" x14ac:dyDescent="0.25">
      <c r="B18" s="25">
        <f>ROW()-12</f>
        <v>6</v>
      </c>
      <c r="C18" s="8" t="s">
        <v>264</v>
      </c>
      <c r="D18" s="8" t="s">
        <v>265</v>
      </c>
      <c r="E18" s="8" t="s">
        <v>266</v>
      </c>
      <c r="F18" s="8" t="s">
        <v>267</v>
      </c>
      <c r="G18" s="8" t="s">
        <v>268</v>
      </c>
    </row>
    <row r="19" ht="32" customHeight="1" spans="2:7" x14ac:dyDescent="0.25">
      <c r="B19" s="25">
        <f>ROW()-12</f>
        <v>7</v>
      </c>
      <c r="C19" s="8" t="s">
        <v>264</v>
      </c>
      <c r="D19" s="8" t="s">
        <v>269</v>
      </c>
      <c r="E19" s="8" t="s">
        <v>270</v>
      </c>
      <c r="F19" s="8" t="s">
        <v>43</v>
      </c>
      <c r="G19" s="8" t="s">
        <v>271</v>
      </c>
    </row>
    <row r="21" spans="2:7" x14ac:dyDescent="0.25">
      <c r="B21" s="4" t="s">
        <v>214</v>
      </c>
      <c r="C21" s="4"/>
      <c r="D21" s="4"/>
      <c r="E21" s="4"/>
      <c r="F21" s="4"/>
      <c r="G21" s="4"/>
    </row>
    <row r="22" ht="17" customHeight="1" spans="2:7" x14ac:dyDescent="0.25">
      <c r="B22" s="26" t="s">
        <v>215</v>
      </c>
      <c r="C22" s="3" t="s">
        <v>272</v>
      </c>
      <c r="D22" s="3"/>
      <c r="E22" s="3"/>
      <c r="F22" s="3"/>
      <c r="G22" s="3"/>
    </row>
    <row r="23" ht="17" customHeight="1" spans="2:7" x14ac:dyDescent="0.25">
      <c r="B23" s="26" t="s">
        <v>215</v>
      </c>
      <c r="C23" s="3" t="s">
        <v>273</v>
      </c>
      <c r="D23" s="3"/>
      <c r="E23" s="3"/>
      <c r="F23" s="3"/>
      <c r="G23" s="3"/>
    </row>
    <row r="24" ht="17" customHeight="1" spans="2:7" x14ac:dyDescent="0.25">
      <c r="B24" s="26" t="s">
        <v>215</v>
      </c>
      <c r="C24" s="3" t="s">
        <v>274</v>
      </c>
      <c r="D24" s="3"/>
      <c r="E24" s="3"/>
      <c r="F24" s="3"/>
      <c r="G24" s="3"/>
    </row>
    <row r="26" spans="2:7" x14ac:dyDescent="0.25">
      <c r="B26" s="4" t="s">
        <v>219</v>
      </c>
      <c r="C26" s="4"/>
      <c r="D26" s="4"/>
      <c r="E26" s="4"/>
      <c r="F26" s="4"/>
      <c r="G26" s="4"/>
    </row>
    <row r="27" ht="17" customHeight="1" spans="2:7" x14ac:dyDescent="0.25">
      <c r="B27" s="26" t="s">
        <v>215</v>
      </c>
      <c r="C27" s="3" t="s">
        <v>275</v>
      </c>
      <c r="D27" s="3"/>
      <c r="E27" s="3"/>
      <c r="F27" s="3"/>
      <c r="G27" s="3"/>
    </row>
    <row r="29" spans="2:7" x14ac:dyDescent="0.25">
      <c r="B29" s="4" t="s">
        <v>222</v>
      </c>
      <c r="C29" s="4"/>
      <c r="D29" s="4"/>
      <c r="E29" s="4"/>
      <c r="F29" s="4"/>
      <c r="G29" s="4"/>
    </row>
    <row r="30" ht="92" customHeight="1" spans="2:7" x14ac:dyDescent="0.25">
      <c r="B30" s="5" t="s">
        <v>276</v>
      </c>
      <c r="C30" s="5"/>
      <c r="D30" s="8" t="s">
        <v>277</v>
      </c>
      <c r="E30" s="8"/>
      <c r="F30" s="8"/>
      <c r="G30" s="8"/>
    </row>
    <row r="32" spans="2:7" x14ac:dyDescent="0.25">
      <c r="B32" s="4" t="s">
        <v>227</v>
      </c>
      <c r="C32" s="4"/>
      <c r="D32" s="4"/>
      <c r="E32" s="4"/>
      <c r="F32" s="4"/>
      <c r="G32" s="4"/>
    </row>
    <row r="33" ht="20" customHeight="1" spans="2:5" x14ac:dyDescent="0.25">
      <c r="B33" s="10" t="s">
        <v>130</v>
      </c>
      <c r="C33" s="10" t="s">
        <v>228</v>
      </c>
      <c r="D33" s="10" t="s">
        <v>229</v>
      </c>
      <c r="E33" s="10" t="s">
        <v>230</v>
      </c>
    </row>
    <row r="34" spans="2:5" x14ac:dyDescent="0.25">
      <c r="B34" s="8" t="s">
        <v>150</v>
      </c>
      <c r="C34" s="21">
        <v>46041</v>
      </c>
      <c r="D34" s="8" t="s">
        <v>231</v>
      </c>
      <c r="E34" s="8" t="s">
        <v>232</v>
      </c>
    </row>
    <row r="35" spans="2:5" x14ac:dyDescent="0.25">
      <c r="B35" s="8" t="s">
        <v>145</v>
      </c>
      <c r="C35" s="21">
        <v>46157</v>
      </c>
      <c r="D35" s="8" t="s">
        <v>278</v>
      </c>
      <c r="E35" s="8" t="s">
        <v>232</v>
      </c>
    </row>
  </sheetData>
  <mergeCells count="24">
    <mergeCell ref="B2:G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1:G11"/>
    <mergeCell ref="B21:G21"/>
    <mergeCell ref="C22:G22"/>
    <mergeCell ref="C23:G23"/>
    <mergeCell ref="C24:G24"/>
    <mergeCell ref="B26:G26"/>
    <mergeCell ref="C27:G27"/>
    <mergeCell ref="B29:G29"/>
    <mergeCell ref="B30:C30"/>
    <mergeCell ref="D30:G30"/>
    <mergeCell ref="B32:G3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4A5E"/>
    <pageSetUpPr fitToPage="1"/>
  </sheetPr>
  <dimension ref="B1:G32"/>
  <sheetViews>
    <sheetView workbookViewId="0" showGridLines="0">
      <pane ySplit="3" topLeftCell="A4" activePane="bottomLeft" state="frozen"/>
      <selection pane="bottomLeft"/>
    </sheetView>
  </sheetViews>
  <sheetFormatPr defaultRowHeight="16" outlineLevelRow="0" outlineLevelCol="0" x14ac:dyDescent="55" customHeight="1"/>
  <cols>
    <col min="1" max="1" width="2" customWidth="1"/>
    <col min="2" max="2" width="7" customWidth="1"/>
    <col min="3" max="3" width="16" customWidth="1"/>
    <col min="4" max="4" width="34" customWidth="1"/>
    <col min="5" max="5" width="46" customWidth="1"/>
    <col min="6" max="6" width="18" customWidth="1"/>
    <col min="7" max="7" width="30" customWidth="1"/>
  </cols>
  <sheetData>
    <row r="1" ht="32" customHeight="1" spans="2:2" x14ac:dyDescent="0.25">
      <c r="B1" s="1" t="s">
        <v>279</v>
      </c>
    </row>
    <row r="2" ht="18" customHeight="1" spans="2:7" x14ac:dyDescent="0.25">
      <c r="B2" s="2" t="s">
        <v>162</v>
      </c>
      <c r="C2" s="2"/>
      <c r="D2" s="2"/>
      <c r="E2" s="2"/>
      <c r="F2" s="2"/>
      <c r="G2" s="2"/>
    </row>
    <row r="4" ht="34" customHeight="1" spans="2:7" x14ac:dyDescent="0.25">
      <c r="B4" s="5" t="s">
        <v>163</v>
      </c>
      <c r="C4" s="5"/>
      <c r="D4" s="8" t="s">
        <v>280</v>
      </c>
      <c r="E4" s="8"/>
      <c r="F4" s="8"/>
      <c r="G4" s="8"/>
    </row>
    <row r="5" ht="19" customHeight="1" spans="2:7" x14ac:dyDescent="0.25">
      <c r="B5" s="5" t="s">
        <v>165</v>
      </c>
      <c r="C5" s="5"/>
      <c r="D5" s="8" t="s">
        <v>281</v>
      </c>
      <c r="E5" s="8"/>
      <c r="F5" s="8"/>
      <c r="G5" s="8"/>
    </row>
    <row r="6" ht="19" customHeight="1" spans="2:7" x14ac:dyDescent="0.25">
      <c r="B6" s="5" t="s">
        <v>167</v>
      </c>
      <c r="C6" s="5"/>
      <c r="D6" s="8" t="s">
        <v>282</v>
      </c>
      <c r="E6" s="8"/>
      <c r="F6" s="8"/>
      <c r="G6" s="8"/>
    </row>
    <row r="7" ht="19" customHeight="1" spans="2:7" x14ac:dyDescent="0.25">
      <c r="B7" s="5" t="s">
        <v>129</v>
      </c>
      <c r="C7" s="5"/>
      <c r="D7" s="8" t="s">
        <v>169</v>
      </c>
      <c r="E7" s="8"/>
      <c r="F7" s="8"/>
      <c r="G7" s="8"/>
    </row>
    <row r="8" ht="19" customHeight="1" spans="2:7" x14ac:dyDescent="0.25">
      <c r="B8" s="5" t="s">
        <v>170</v>
      </c>
      <c r="C8" s="5"/>
      <c r="D8" s="8" t="s">
        <v>283</v>
      </c>
      <c r="E8" s="8"/>
      <c r="F8" s="8"/>
      <c r="G8" s="8"/>
    </row>
    <row r="9" ht="19" customHeight="1" spans="2:7" x14ac:dyDescent="0.25">
      <c r="B9" s="5" t="s">
        <v>172</v>
      </c>
      <c r="C9" s="5"/>
      <c r="D9" s="8" t="s">
        <v>284</v>
      </c>
      <c r="E9" s="8"/>
      <c r="F9" s="8"/>
      <c r="G9" s="8"/>
    </row>
    <row r="11" spans="2:7" x14ac:dyDescent="0.25">
      <c r="B11" s="4" t="s">
        <v>174</v>
      </c>
      <c r="C11" s="4"/>
      <c r="D11" s="4"/>
      <c r="E11" s="4"/>
      <c r="F11" s="4"/>
      <c r="G11" s="4"/>
    </row>
    <row r="12" ht="30" customHeight="1" spans="2:7" x14ac:dyDescent="0.25">
      <c r="B12" s="10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</row>
    <row r="13" ht="32" customHeight="1" spans="2:7" x14ac:dyDescent="0.25">
      <c r="B13" s="25">
        <f>ROW()-12</f>
        <v>1</v>
      </c>
      <c r="C13" s="8" t="s">
        <v>285</v>
      </c>
      <c r="D13" s="8" t="s">
        <v>286</v>
      </c>
      <c r="E13" s="8" t="s">
        <v>287</v>
      </c>
      <c r="F13" s="8" t="s">
        <v>288</v>
      </c>
      <c r="G13" s="8" t="s">
        <v>289</v>
      </c>
    </row>
    <row r="14" ht="45" customHeight="1" spans="2:7" x14ac:dyDescent="0.25">
      <c r="B14" s="25">
        <f>ROW()-12</f>
        <v>2</v>
      </c>
      <c r="C14" s="8" t="s">
        <v>290</v>
      </c>
      <c r="D14" s="8" t="s">
        <v>291</v>
      </c>
      <c r="E14" s="8" t="s">
        <v>292</v>
      </c>
      <c r="F14" s="8" t="s">
        <v>293</v>
      </c>
      <c r="G14" s="8" t="s">
        <v>294</v>
      </c>
    </row>
    <row r="15" ht="32" customHeight="1" spans="2:7" x14ac:dyDescent="0.25">
      <c r="B15" s="25">
        <f>ROW()-12</f>
        <v>3</v>
      </c>
      <c r="C15" s="8" t="s">
        <v>290</v>
      </c>
      <c r="D15" s="8" t="s">
        <v>295</v>
      </c>
      <c r="E15" s="8" t="s">
        <v>296</v>
      </c>
      <c r="F15" s="8" t="s">
        <v>297</v>
      </c>
      <c r="G15" s="8" t="s">
        <v>298</v>
      </c>
    </row>
    <row r="16" ht="32" customHeight="1" spans="2:7" x14ac:dyDescent="0.25">
      <c r="B16" s="25">
        <f>ROW()-12</f>
        <v>4</v>
      </c>
      <c r="C16" s="8" t="s">
        <v>299</v>
      </c>
      <c r="D16" s="8" t="s">
        <v>300</v>
      </c>
      <c r="E16" s="8" t="s">
        <v>301</v>
      </c>
      <c r="F16" s="8" t="s">
        <v>302</v>
      </c>
      <c r="G16" s="8" t="s">
        <v>303</v>
      </c>
    </row>
    <row r="17" ht="32" customHeight="1" spans="2:7" x14ac:dyDescent="0.25">
      <c r="B17" s="25">
        <f>ROW()-12</f>
        <v>5</v>
      </c>
      <c r="C17" s="8" t="s">
        <v>299</v>
      </c>
      <c r="D17" s="8" t="s">
        <v>304</v>
      </c>
      <c r="E17" s="8" t="s">
        <v>305</v>
      </c>
      <c r="F17" s="8" t="s">
        <v>306</v>
      </c>
      <c r="G17" s="8" t="s">
        <v>307</v>
      </c>
    </row>
    <row r="18" ht="45" customHeight="1" spans="2:7" x14ac:dyDescent="0.25">
      <c r="B18" s="25">
        <f>ROW()-12</f>
        <v>6</v>
      </c>
      <c r="C18" s="8" t="s">
        <v>299</v>
      </c>
      <c r="D18" s="8" t="s">
        <v>308</v>
      </c>
      <c r="E18" s="8" t="s">
        <v>309</v>
      </c>
      <c r="F18" s="8" t="s">
        <v>310</v>
      </c>
      <c r="G18" s="8" t="s">
        <v>311</v>
      </c>
    </row>
    <row r="19" ht="32" customHeight="1" spans="2:7" x14ac:dyDescent="0.25">
      <c r="B19" s="25">
        <f>ROW()-12</f>
        <v>7</v>
      </c>
      <c r="C19" s="8" t="s">
        <v>312</v>
      </c>
      <c r="D19" s="8" t="s">
        <v>313</v>
      </c>
      <c r="E19" s="8" t="s">
        <v>314</v>
      </c>
      <c r="F19" s="8" t="s">
        <v>315</v>
      </c>
      <c r="G19" s="8" t="s">
        <v>316</v>
      </c>
    </row>
    <row r="20" ht="32" customHeight="1" spans="2:7" x14ac:dyDescent="0.25">
      <c r="B20" s="25">
        <f>ROW()-12</f>
        <v>8</v>
      </c>
      <c r="C20" s="8" t="s">
        <v>312</v>
      </c>
      <c r="D20" s="8" t="s">
        <v>317</v>
      </c>
      <c r="E20" s="8" t="s">
        <v>318</v>
      </c>
      <c r="F20" s="8" t="s">
        <v>319</v>
      </c>
      <c r="G20" s="8" t="s">
        <v>320</v>
      </c>
    </row>
    <row r="22" spans="2:7" x14ac:dyDescent="0.25">
      <c r="B22" s="4" t="s">
        <v>214</v>
      </c>
      <c r="C22" s="4"/>
      <c r="D22" s="4"/>
      <c r="E22" s="4"/>
      <c r="F22" s="4"/>
      <c r="G22" s="4"/>
    </row>
    <row r="23" ht="17" customHeight="1" spans="2:7" x14ac:dyDescent="0.25">
      <c r="B23" s="26" t="s">
        <v>215</v>
      </c>
      <c r="C23" s="3" t="s">
        <v>321</v>
      </c>
      <c r="D23" s="3"/>
      <c r="E23" s="3"/>
      <c r="F23" s="3"/>
      <c r="G23" s="3"/>
    </row>
    <row r="24" ht="17" customHeight="1" spans="2:7" x14ac:dyDescent="0.25">
      <c r="B24" s="26" t="s">
        <v>215</v>
      </c>
      <c r="C24" s="3" t="s">
        <v>322</v>
      </c>
      <c r="D24" s="3"/>
      <c r="E24" s="3"/>
      <c r="F24" s="3"/>
      <c r="G24" s="3"/>
    </row>
    <row r="26" spans="2:7" x14ac:dyDescent="0.25">
      <c r="B26" s="4" t="s">
        <v>219</v>
      </c>
      <c r="C26" s="4"/>
      <c r="D26" s="4"/>
      <c r="E26" s="4"/>
      <c r="F26" s="4"/>
      <c r="G26" s="4"/>
    </row>
    <row r="27" ht="17" customHeight="1" spans="2:7" x14ac:dyDescent="0.25">
      <c r="B27" s="26" t="s">
        <v>215</v>
      </c>
      <c r="C27" s="3" t="s">
        <v>323</v>
      </c>
      <c r="D27" s="3"/>
      <c r="E27" s="3"/>
      <c r="F27" s="3"/>
      <c r="G27" s="3"/>
    </row>
    <row r="28" ht="17" customHeight="1" spans="2:7" x14ac:dyDescent="0.25">
      <c r="B28" s="26" t="s">
        <v>215</v>
      </c>
      <c r="C28" s="3" t="s">
        <v>324</v>
      </c>
      <c r="D28" s="3"/>
      <c r="E28" s="3"/>
      <c r="F28" s="3"/>
      <c r="G28" s="3"/>
    </row>
    <row r="30" spans="2:7" x14ac:dyDescent="0.25">
      <c r="B30" s="4" t="s">
        <v>227</v>
      </c>
      <c r="C30" s="4"/>
      <c r="D30" s="4"/>
      <c r="E30" s="4"/>
      <c r="F30" s="4"/>
      <c r="G30" s="4"/>
    </row>
    <row r="31" ht="20" customHeight="1" spans="2:5" x14ac:dyDescent="0.25">
      <c r="B31" s="10" t="s">
        <v>130</v>
      </c>
      <c r="C31" s="10" t="s">
        <v>228</v>
      </c>
      <c r="D31" s="10" t="s">
        <v>229</v>
      </c>
      <c r="E31" s="10" t="s">
        <v>230</v>
      </c>
    </row>
    <row r="32" spans="2:5" x14ac:dyDescent="0.25">
      <c r="B32" s="8" t="s">
        <v>150</v>
      </c>
      <c r="C32" s="21">
        <v>46224</v>
      </c>
      <c r="D32" s="8" t="s">
        <v>231</v>
      </c>
      <c r="E32" s="8" t="s">
        <v>325</v>
      </c>
    </row>
  </sheetData>
  <mergeCells count="21">
    <mergeCell ref="B2:G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1:G11"/>
    <mergeCell ref="B22:G22"/>
    <mergeCell ref="C23:G23"/>
    <mergeCell ref="C24:G24"/>
    <mergeCell ref="B26:G26"/>
    <mergeCell ref="C27:G27"/>
    <mergeCell ref="C28:G28"/>
    <mergeCell ref="B30:G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4A5E"/>
    <pageSetUpPr fitToPage="1"/>
  </sheetPr>
  <dimension ref="B1:G39"/>
  <sheetViews>
    <sheetView workbookViewId="0" showGridLines="0">
      <pane ySplit="3" topLeftCell="A4" activePane="bottomLeft" state="frozen"/>
      <selection pane="bottomLeft"/>
    </sheetView>
  </sheetViews>
  <sheetFormatPr defaultRowHeight="16" outlineLevelRow="0" outlineLevelCol="0" x14ac:dyDescent="55" customHeight="1"/>
  <cols>
    <col min="1" max="1" width="2" customWidth="1"/>
    <col min="2" max="2" width="7" customWidth="1"/>
    <col min="3" max="3" width="16" customWidth="1"/>
    <col min="4" max="4" width="34" customWidth="1"/>
    <col min="5" max="5" width="46" customWidth="1"/>
    <col min="6" max="6" width="18" customWidth="1"/>
    <col min="7" max="7" width="30" customWidth="1"/>
  </cols>
  <sheetData>
    <row r="1" ht="32" customHeight="1" spans="2:2" x14ac:dyDescent="0.25">
      <c r="B1" s="1" t="s">
        <v>326</v>
      </c>
    </row>
    <row r="2" ht="18" customHeight="1" spans="2:7" x14ac:dyDescent="0.25">
      <c r="B2" s="2" t="s">
        <v>162</v>
      </c>
      <c r="C2" s="2"/>
      <c r="D2" s="2"/>
      <c r="E2" s="2"/>
      <c r="F2" s="2"/>
      <c r="G2" s="2"/>
    </row>
    <row r="4" ht="34" customHeight="1" spans="2:7" x14ac:dyDescent="0.25">
      <c r="B4" s="5" t="s">
        <v>163</v>
      </c>
      <c r="C4" s="5"/>
      <c r="D4" s="8" t="s">
        <v>327</v>
      </c>
      <c r="E4" s="8"/>
      <c r="F4" s="8"/>
      <c r="G4" s="8"/>
    </row>
    <row r="5" ht="19" customHeight="1" spans="2:7" x14ac:dyDescent="0.25">
      <c r="B5" s="5" t="s">
        <v>165</v>
      </c>
      <c r="C5" s="5"/>
      <c r="D5" s="8" t="s">
        <v>328</v>
      </c>
      <c r="E5" s="8"/>
      <c r="F5" s="8"/>
      <c r="G5" s="8"/>
    </row>
    <row r="6" ht="19" customHeight="1" spans="2:7" x14ac:dyDescent="0.25">
      <c r="B6" s="5" t="s">
        <v>167</v>
      </c>
      <c r="C6" s="5"/>
      <c r="D6" s="8" t="s">
        <v>329</v>
      </c>
      <c r="E6" s="8"/>
      <c r="F6" s="8"/>
      <c r="G6" s="8"/>
    </row>
    <row r="7" ht="19" customHeight="1" spans="2:7" x14ac:dyDescent="0.25">
      <c r="B7" s="5" t="s">
        <v>129</v>
      </c>
      <c r="C7" s="5"/>
      <c r="D7" s="8" t="s">
        <v>169</v>
      </c>
      <c r="E7" s="8"/>
      <c r="F7" s="8"/>
      <c r="G7" s="8"/>
    </row>
    <row r="8" ht="19" customHeight="1" spans="2:7" x14ac:dyDescent="0.25">
      <c r="B8" s="5" t="s">
        <v>170</v>
      </c>
      <c r="C8" s="5"/>
      <c r="D8" s="8" t="s">
        <v>330</v>
      </c>
      <c r="E8" s="8"/>
      <c r="F8" s="8"/>
      <c r="G8" s="8"/>
    </row>
    <row r="9" ht="19" customHeight="1" spans="2:7" x14ac:dyDescent="0.25">
      <c r="B9" s="5" t="s">
        <v>172</v>
      </c>
      <c r="C9" s="5"/>
      <c r="D9" s="8" t="s">
        <v>331</v>
      </c>
      <c r="E9" s="8"/>
      <c r="F9" s="8"/>
      <c r="G9" s="8"/>
    </row>
    <row r="11" spans="2:7" x14ac:dyDescent="0.25">
      <c r="B11" s="4" t="s">
        <v>174</v>
      </c>
      <c r="C11" s="4"/>
      <c r="D11" s="4"/>
      <c r="E11" s="4"/>
      <c r="F11" s="4"/>
      <c r="G11" s="4"/>
    </row>
    <row r="12" ht="30" customHeight="1" spans="2:7" x14ac:dyDescent="0.25">
      <c r="B12" s="10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</row>
    <row r="13" ht="32" customHeight="1" spans="2:7" x14ac:dyDescent="0.25">
      <c r="B13" s="25">
        <f>ROW()-12</f>
        <v>1</v>
      </c>
      <c r="C13" s="8" t="s">
        <v>332</v>
      </c>
      <c r="D13" s="8" t="s">
        <v>333</v>
      </c>
      <c r="E13" s="8" t="s">
        <v>334</v>
      </c>
      <c r="F13" s="8" t="s">
        <v>306</v>
      </c>
      <c r="G13" s="8" t="s">
        <v>335</v>
      </c>
    </row>
    <row r="14" ht="32" customHeight="1" spans="2:7" x14ac:dyDescent="0.25">
      <c r="B14" s="25">
        <f>ROW()-12</f>
        <v>2</v>
      </c>
      <c r="C14" s="8" t="s">
        <v>332</v>
      </c>
      <c r="D14" s="8" t="s">
        <v>336</v>
      </c>
      <c r="E14" s="8" t="s">
        <v>337</v>
      </c>
      <c r="F14" s="8" t="s">
        <v>338</v>
      </c>
      <c r="G14" s="8" t="s">
        <v>339</v>
      </c>
    </row>
    <row r="15" ht="32" customHeight="1" spans="2:7" x14ac:dyDescent="0.25">
      <c r="B15" s="25">
        <f>ROW()-12</f>
        <v>3</v>
      </c>
      <c r="C15" s="8" t="s">
        <v>264</v>
      </c>
      <c r="D15" s="8" t="s">
        <v>340</v>
      </c>
      <c r="E15" s="8" t="s">
        <v>341</v>
      </c>
      <c r="F15" s="8" t="s">
        <v>342</v>
      </c>
      <c r="G15" s="8" t="s">
        <v>343</v>
      </c>
    </row>
    <row r="16" ht="32" customHeight="1" spans="2:7" x14ac:dyDescent="0.25">
      <c r="B16" s="25">
        <f>ROW()-12</f>
        <v>4</v>
      </c>
      <c r="C16" s="8" t="s">
        <v>264</v>
      </c>
      <c r="D16" s="8" t="s">
        <v>344</v>
      </c>
      <c r="E16" s="8" t="s">
        <v>345</v>
      </c>
      <c r="F16" s="8" t="s">
        <v>288</v>
      </c>
      <c r="G16" s="8" t="s">
        <v>346</v>
      </c>
    </row>
    <row r="17" ht="32" customHeight="1" spans="2:7" x14ac:dyDescent="0.25">
      <c r="B17" s="25">
        <f>ROW()-12</f>
        <v>5</v>
      </c>
      <c r="C17" s="8" t="s">
        <v>264</v>
      </c>
      <c r="D17" s="8" t="s">
        <v>347</v>
      </c>
      <c r="E17" s="8" t="s">
        <v>348</v>
      </c>
      <c r="F17" s="8" t="s">
        <v>349</v>
      </c>
      <c r="G17" s="8" t="s">
        <v>350</v>
      </c>
    </row>
    <row r="18" ht="32" customHeight="1" spans="2:7" x14ac:dyDescent="0.25">
      <c r="B18" s="25">
        <f>ROW()-12</f>
        <v>6</v>
      </c>
      <c r="C18" s="8" t="s">
        <v>351</v>
      </c>
      <c r="D18" s="8" t="s">
        <v>352</v>
      </c>
      <c r="E18" s="8" t="s">
        <v>353</v>
      </c>
      <c r="F18" s="8" t="s">
        <v>288</v>
      </c>
      <c r="G18" s="8" t="s">
        <v>354</v>
      </c>
    </row>
    <row r="19" ht="32" customHeight="1" spans="2:7" x14ac:dyDescent="0.25">
      <c r="B19" s="25">
        <f>ROW()-12</f>
        <v>7</v>
      </c>
      <c r="C19" s="8" t="s">
        <v>355</v>
      </c>
      <c r="D19" s="8" t="s">
        <v>356</v>
      </c>
      <c r="E19" s="8" t="s">
        <v>357</v>
      </c>
      <c r="F19" s="8" t="s">
        <v>358</v>
      </c>
      <c r="G19" s="8" t="s">
        <v>359</v>
      </c>
    </row>
    <row r="21" spans="2:7" x14ac:dyDescent="0.25">
      <c r="B21" s="4" t="s">
        <v>214</v>
      </c>
      <c r="C21" s="4"/>
      <c r="D21" s="4"/>
      <c r="E21" s="4"/>
      <c r="F21" s="4"/>
      <c r="G21" s="4"/>
    </row>
    <row r="22" ht="17" customHeight="1" spans="2:7" x14ac:dyDescent="0.25">
      <c r="B22" s="26" t="s">
        <v>215</v>
      </c>
      <c r="C22" s="3" t="s">
        <v>360</v>
      </c>
      <c r="D22" s="3"/>
      <c r="E22" s="3"/>
      <c r="F22" s="3"/>
      <c r="G22" s="3"/>
    </row>
    <row r="23" ht="17" customHeight="1" spans="2:7" x14ac:dyDescent="0.25">
      <c r="B23" s="26" t="s">
        <v>215</v>
      </c>
      <c r="C23" s="3" t="s">
        <v>361</v>
      </c>
      <c r="D23" s="3"/>
      <c r="E23" s="3"/>
      <c r="F23" s="3"/>
      <c r="G23" s="3"/>
    </row>
    <row r="24" ht="17" customHeight="1" spans="2:7" x14ac:dyDescent="0.25">
      <c r="B24" s="26" t="s">
        <v>215</v>
      </c>
      <c r="C24" s="3" t="s">
        <v>362</v>
      </c>
      <c r="D24" s="3"/>
      <c r="E24" s="3"/>
      <c r="F24" s="3"/>
      <c r="G24" s="3"/>
    </row>
    <row r="26" spans="2:7" x14ac:dyDescent="0.25">
      <c r="B26" s="4" t="s">
        <v>219</v>
      </c>
      <c r="C26" s="4"/>
      <c r="D26" s="4"/>
      <c r="E26" s="4"/>
      <c r="F26" s="4"/>
      <c r="G26" s="4"/>
    </row>
    <row r="27" ht="17" customHeight="1" spans="2:7" x14ac:dyDescent="0.25">
      <c r="B27" s="26" t="s">
        <v>215</v>
      </c>
      <c r="C27" s="3" t="s">
        <v>363</v>
      </c>
      <c r="D27" s="3"/>
      <c r="E27" s="3"/>
      <c r="F27" s="3"/>
      <c r="G27" s="3"/>
    </row>
    <row r="28" ht="17" customHeight="1" spans="2:7" x14ac:dyDescent="0.25">
      <c r="B28" s="26" t="s">
        <v>215</v>
      </c>
      <c r="C28" s="3" t="s">
        <v>364</v>
      </c>
      <c r="D28" s="3"/>
      <c r="E28" s="3"/>
      <c r="F28" s="3"/>
      <c r="G28" s="3"/>
    </row>
    <row r="30" spans="2:7" x14ac:dyDescent="0.25">
      <c r="B30" s="4" t="s">
        <v>222</v>
      </c>
      <c r="C30" s="4"/>
      <c r="D30" s="4"/>
      <c r="E30" s="4"/>
      <c r="F30" s="4"/>
      <c r="G30" s="4"/>
    </row>
    <row r="31" ht="92" customHeight="1" spans="2:7" x14ac:dyDescent="0.25">
      <c r="B31" s="5" t="s">
        <v>365</v>
      </c>
      <c r="C31" s="5"/>
      <c r="D31" s="8" t="s">
        <v>366</v>
      </c>
      <c r="E31" s="8"/>
      <c r="F31" s="8"/>
      <c r="G31" s="8"/>
    </row>
    <row r="32" ht="78" customHeight="1" spans="2:7" x14ac:dyDescent="0.25">
      <c r="B32" s="5" t="s">
        <v>367</v>
      </c>
      <c r="C32" s="5"/>
      <c r="D32" s="8" t="s">
        <v>368</v>
      </c>
      <c r="E32" s="8"/>
      <c r="F32" s="8"/>
      <c r="G32" s="8"/>
    </row>
    <row r="33" ht="50" customHeight="1" spans="2:7" x14ac:dyDescent="0.25">
      <c r="B33" s="5" t="s">
        <v>369</v>
      </c>
      <c r="C33" s="5"/>
      <c r="D33" s="8" t="s">
        <v>370</v>
      </c>
      <c r="E33" s="8"/>
      <c r="F33" s="8"/>
      <c r="G33" s="8"/>
    </row>
    <row r="35" spans="2:7" x14ac:dyDescent="0.25">
      <c r="B35" s="4" t="s">
        <v>227</v>
      </c>
      <c r="C35" s="4"/>
      <c r="D35" s="4"/>
      <c r="E35" s="4"/>
      <c r="F35" s="4"/>
      <c r="G35" s="4"/>
    </row>
    <row r="36" ht="20" customHeight="1" spans="2:5" x14ac:dyDescent="0.25">
      <c r="B36" s="10" t="s">
        <v>130</v>
      </c>
      <c r="C36" s="10" t="s">
        <v>228</v>
      </c>
      <c r="D36" s="10" t="s">
        <v>229</v>
      </c>
      <c r="E36" s="10" t="s">
        <v>230</v>
      </c>
    </row>
    <row r="37" spans="2:5" x14ac:dyDescent="0.25">
      <c r="B37" s="8" t="s">
        <v>150</v>
      </c>
      <c r="C37" s="21">
        <v>45992</v>
      </c>
      <c r="D37" s="8" t="s">
        <v>231</v>
      </c>
      <c r="E37" s="8" t="s">
        <v>371</v>
      </c>
    </row>
    <row r="38" spans="2:5" x14ac:dyDescent="0.25">
      <c r="B38" s="8" t="s">
        <v>141</v>
      </c>
      <c r="C38" s="21">
        <v>46118</v>
      </c>
      <c r="D38" s="8" t="s">
        <v>372</v>
      </c>
      <c r="E38" s="8" t="s">
        <v>371</v>
      </c>
    </row>
    <row r="39" spans="2:5" x14ac:dyDescent="0.25">
      <c r="B39" s="8" t="s">
        <v>155</v>
      </c>
      <c r="C39" s="21">
        <v>46266</v>
      </c>
      <c r="D39" s="8" t="s">
        <v>373</v>
      </c>
      <c r="E39" s="8" t="s">
        <v>371</v>
      </c>
    </row>
  </sheetData>
  <mergeCells count="29">
    <mergeCell ref="B2:G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1:G11"/>
    <mergeCell ref="B21:G21"/>
    <mergeCell ref="C22:G22"/>
    <mergeCell ref="C23:G23"/>
    <mergeCell ref="C24:G24"/>
    <mergeCell ref="B26:G26"/>
    <mergeCell ref="C27:G27"/>
    <mergeCell ref="C28:G28"/>
    <mergeCell ref="B30:G30"/>
    <mergeCell ref="B31:C31"/>
    <mergeCell ref="D31:G31"/>
    <mergeCell ref="B32:C32"/>
    <mergeCell ref="D32:G32"/>
    <mergeCell ref="B33:C33"/>
    <mergeCell ref="D33:G33"/>
    <mergeCell ref="B35:G3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4A5E"/>
    <pageSetUpPr fitToPage="1"/>
  </sheetPr>
  <dimension ref="B1:G30"/>
  <sheetViews>
    <sheetView workbookViewId="0" showGridLines="0">
      <pane ySplit="3" topLeftCell="A4" activePane="bottomLeft" state="frozen"/>
      <selection pane="bottomLeft"/>
    </sheetView>
  </sheetViews>
  <sheetFormatPr defaultRowHeight="16" outlineLevelRow="0" outlineLevelCol="0" x14ac:dyDescent="55" customHeight="1"/>
  <cols>
    <col min="1" max="1" width="2" customWidth="1"/>
    <col min="2" max="2" width="7" customWidth="1"/>
    <col min="3" max="3" width="16" customWidth="1"/>
    <col min="4" max="4" width="34" customWidth="1"/>
    <col min="5" max="5" width="46" customWidth="1"/>
    <col min="6" max="6" width="18" customWidth="1"/>
    <col min="7" max="7" width="30" customWidth="1"/>
  </cols>
  <sheetData>
    <row r="1" ht="32" customHeight="1" spans="2:2" x14ac:dyDescent="0.25">
      <c r="B1" s="1" t="s">
        <v>374</v>
      </c>
    </row>
    <row r="2" ht="18" customHeight="1" spans="2:7" x14ac:dyDescent="0.25">
      <c r="B2" s="2" t="s">
        <v>162</v>
      </c>
      <c r="C2" s="2"/>
      <c r="D2" s="2"/>
      <c r="E2" s="2"/>
      <c r="F2" s="2"/>
      <c r="G2" s="2"/>
    </row>
    <row r="4" ht="34" customHeight="1" spans="2:7" x14ac:dyDescent="0.25">
      <c r="B4" s="5" t="s">
        <v>163</v>
      </c>
      <c r="C4" s="5"/>
      <c r="D4" s="8" t="s">
        <v>375</v>
      </c>
      <c r="E4" s="8"/>
      <c r="F4" s="8"/>
      <c r="G4" s="8"/>
    </row>
    <row r="5" ht="19" customHeight="1" spans="2:7" x14ac:dyDescent="0.25">
      <c r="B5" s="5" t="s">
        <v>165</v>
      </c>
      <c r="C5" s="5"/>
      <c r="D5" s="8" t="s">
        <v>376</v>
      </c>
      <c r="E5" s="8"/>
      <c r="F5" s="8"/>
      <c r="G5" s="8"/>
    </row>
    <row r="6" ht="19" customHeight="1" spans="2:7" x14ac:dyDescent="0.25">
      <c r="B6" s="5" t="s">
        <v>167</v>
      </c>
      <c r="C6" s="5"/>
      <c r="D6" s="8" t="s">
        <v>377</v>
      </c>
      <c r="E6" s="8"/>
      <c r="F6" s="8"/>
      <c r="G6" s="8"/>
    </row>
    <row r="7" ht="19" customHeight="1" spans="2:7" x14ac:dyDescent="0.25">
      <c r="B7" s="5" t="s">
        <v>129</v>
      </c>
      <c r="C7" s="5"/>
      <c r="D7" s="8" t="s">
        <v>169</v>
      </c>
      <c r="E7" s="8"/>
      <c r="F7" s="8"/>
      <c r="G7" s="8"/>
    </row>
    <row r="8" ht="34" customHeight="1" spans="2:7" x14ac:dyDescent="0.25">
      <c r="B8" s="5" t="s">
        <v>170</v>
      </c>
      <c r="C8" s="5"/>
      <c r="D8" s="8" t="s">
        <v>378</v>
      </c>
      <c r="E8" s="8"/>
      <c r="F8" s="8"/>
      <c r="G8" s="8"/>
    </row>
    <row r="9" ht="19" customHeight="1" spans="2:7" x14ac:dyDescent="0.25">
      <c r="B9" s="5" t="s">
        <v>172</v>
      </c>
      <c r="C9" s="5"/>
      <c r="D9" s="8" t="s">
        <v>379</v>
      </c>
      <c r="E9" s="8"/>
      <c r="F9" s="8"/>
      <c r="G9" s="8"/>
    </row>
    <row r="11" spans="2:7" x14ac:dyDescent="0.25">
      <c r="B11" s="4" t="s">
        <v>174</v>
      </c>
      <c r="C11" s="4"/>
      <c r="D11" s="4"/>
      <c r="E11" s="4"/>
      <c r="F11" s="4"/>
      <c r="G11" s="4"/>
    </row>
    <row r="12" ht="30" customHeight="1" spans="2:7" x14ac:dyDescent="0.25">
      <c r="B12" s="10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</row>
    <row r="13" ht="32" customHeight="1" spans="2:7" x14ac:dyDescent="0.25">
      <c r="B13" s="25">
        <f>ROW()-12</f>
        <v>1</v>
      </c>
      <c r="C13" s="8" t="s">
        <v>380</v>
      </c>
      <c r="D13" s="8" t="s">
        <v>381</v>
      </c>
      <c r="E13" s="8" t="s">
        <v>382</v>
      </c>
      <c r="F13" s="8" t="s">
        <v>383</v>
      </c>
      <c r="G13" s="8" t="s">
        <v>384</v>
      </c>
    </row>
    <row r="14" ht="45" customHeight="1" spans="2:7" x14ac:dyDescent="0.25">
      <c r="B14" s="25">
        <f>ROW()-12</f>
        <v>2</v>
      </c>
      <c r="C14" s="8" t="s">
        <v>380</v>
      </c>
      <c r="D14" s="8" t="s">
        <v>385</v>
      </c>
      <c r="E14" s="8" t="s">
        <v>386</v>
      </c>
      <c r="F14" s="8" t="s">
        <v>387</v>
      </c>
      <c r="G14" s="8" t="s">
        <v>388</v>
      </c>
    </row>
    <row r="15" ht="32" customHeight="1" spans="2:7" x14ac:dyDescent="0.25">
      <c r="B15" s="25">
        <f>ROW()-12</f>
        <v>3</v>
      </c>
      <c r="C15" s="8" t="s">
        <v>389</v>
      </c>
      <c r="D15" s="8" t="s">
        <v>390</v>
      </c>
      <c r="E15" s="8" t="s">
        <v>391</v>
      </c>
      <c r="F15" s="8" t="s">
        <v>392</v>
      </c>
      <c r="G15" s="8" t="s">
        <v>393</v>
      </c>
    </row>
    <row r="16" ht="32" customHeight="1" spans="2:7" x14ac:dyDescent="0.25">
      <c r="B16" s="25">
        <f>ROW()-12</f>
        <v>4</v>
      </c>
      <c r="C16" s="8" t="s">
        <v>394</v>
      </c>
      <c r="D16" s="8" t="s">
        <v>395</v>
      </c>
      <c r="E16" s="8" t="s">
        <v>396</v>
      </c>
      <c r="F16" s="8" t="s">
        <v>397</v>
      </c>
      <c r="G16" s="8" t="s">
        <v>398</v>
      </c>
    </row>
    <row r="17" ht="45" customHeight="1" spans="2:7" x14ac:dyDescent="0.25">
      <c r="B17" s="25">
        <f>ROW()-12</f>
        <v>5</v>
      </c>
      <c r="C17" s="8" t="s">
        <v>394</v>
      </c>
      <c r="D17" s="8" t="s">
        <v>399</v>
      </c>
      <c r="E17" s="8" t="s">
        <v>400</v>
      </c>
      <c r="F17" s="8" t="s">
        <v>45</v>
      </c>
      <c r="G17" s="8" t="s">
        <v>401</v>
      </c>
    </row>
    <row r="18" ht="32" customHeight="1" spans="2:7" x14ac:dyDescent="0.25">
      <c r="B18" s="25">
        <f>ROW()-12</f>
        <v>6</v>
      </c>
      <c r="C18" s="8" t="s">
        <v>394</v>
      </c>
      <c r="D18" s="8" t="s">
        <v>402</v>
      </c>
      <c r="E18" s="8" t="s">
        <v>403</v>
      </c>
      <c r="F18" s="8" t="s">
        <v>404</v>
      </c>
      <c r="G18" s="8" t="s">
        <v>405</v>
      </c>
    </row>
    <row r="20" spans="2:7" x14ac:dyDescent="0.25">
      <c r="B20" s="4" t="s">
        <v>214</v>
      </c>
      <c r="C20" s="4"/>
      <c r="D20" s="4"/>
      <c r="E20" s="4"/>
      <c r="F20" s="4"/>
      <c r="G20" s="4"/>
    </row>
    <row r="21" ht="17" customHeight="1" spans="2:7" x14ac:dyDescent="0.25">
      <c r="B21" s="26" t="s">
        <v>215</v>
      </c>
      <c r="C21" s="3" t="s">
        <v>406</v>
      </c>
      <c r="D21" s="3"/>
      <c r="E21" s="3"/>
      <c r="F21" s="3"/>
      <c r="G21" s="3"/>
    </row>
    <row r="22" ht="17" customHeight="1" spans="2:7" x14ac:dyDescent="0.25">
      <c r="B22" s="26" t="s">
        <v>215</v>
      </c>
      <c r="C22" s="3" t="s">
        <v>407</v>
      </c>
      <c r="D22" s="3"/>
      <c r="E22" s="3"/>
      <c r="F22" s="3"/>
      <c r="G22" s="3"/>
    </row>
    <row r="24" spans="2:7" x14ac:dyDescent="0.25">
      <c r="B24" s="4" t="s">
        <v>219</v>
      </c>
      <c r="C24" s="4"/>
      <c r="D24" s="4"/>
      <c r="E24" s="4"/>
      <c r="F24" s="4"/>
      <c r="G24" s="4"/>
    </row>
    <row r="25" ht="17" customHeight="1" spans="2:7" x14ac:dyDescent="0.25">
      <c r="B25" s="26" t="s">
        <v>215</v>
      </c>
      <c r="C25" s="3" t="s">
        <v>408</v>
      </c>
      <c r="D25" s="3"/>
      <c r="E25" s="3"/>
      <c r="F25" s="3"/>
      <c r="G25" s="3"/>
    </row>
    <row r="27" spans="2:7" x14ac:dyDescent="0.25">
      <c r="B27" s="4" t="s">
        <v>227</v>
      </c>
      <c r="C27" s="4"/>
      <c r="D27" s="4"/>
      <c r="E27" s="4"/>
      <c r="F27" s="4"/>
      <c r="G27" s="4"/>
    </row>
    <row r="28" ht="20" customHeight="1" spans="2:5" x14ac:dyDescent="0.25">
      <c r="B28" s="10" t="s">
        <v>130</v>
      </c>
      <c r="C28" s="10" t="s">
        <v>228</v>
      </c>
      <c r="D28" s="10" t="s">
        <v>229</v>
      </c>
      <c r="E28" s="10" t="s">
        <v>230</v>
      </c>
    </row>
    <row r="29" spans="2:5" x14ac:dyDescent="0.25">
      <c r="B29" s="8" t="s">
        <v>150</v>
      </c>
      <c r="C29" s="21">
        <v>45943</v>
      </c>
      <c r="D29" s="8" t="s">
        <v>231</v>
      </c>
      <c r="E29" s="8" t="s">
        <v>409</v>
      </c>
    </row>
    <row r="30" spans="2:5" x14ac:dyDescent="0.25">
      <c r="B30" s="8" t="s">
        <v>145</v>
      </c>
      <c r="C30" s="21">
        <v>46132</v>
      </c>
      <c r="D30" s="8" t="s">
        <v>410</v>
      </c>
      <c r="E30" s="8" t="s">
        <v>409</v>
      </c>
    </row>
  </sheetData>
  <mergeCells count="20">
    <mergeCell ref="B2:G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1:G11"/>
    <mergeCell ref="B20:G20"/>
    <mergeCell ref="C21:G21"/>
    <mergeCell ref="C22:G22"/>
    <mergeCell ref="B24:G24"/>
    <mergeCell ref="C25:G25"/>
    <mergeCell ref="B27:G27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N22"/>
  <sheetViews>
    <sheetView workbookViewId="0" showGridLines="0">
      <pane xSplit="3" ySplit="4" topLeftCell="D5" activePane="bottomRight" state="frozen"/>
      <selection pane="bottomRight"/>
    </sheetView>
  </sheetViews>
  <sheetFormatPr defaultRowHeight="16" outlineLevelRow="0" outlineLevelCol="0" x14ac:dyDescent="55" customHeight="1"/>
  <cols>
    <col min="1" max="1" width="2" customWidth="1"/>
    <col min="2" max="2" width="8" customWidth="1"/>
    <col min="3" max="3" width="44" customWidth="1"/>
    <col min="4" max="4" width="18" customWidth="1"/>
    <col min="5" max="5" width="16" customWidth="1"/>
    <col min="6" max="6" width="12" customWidth="1"/>
    <col min="7" max="7" width="10" customWidth="1"/>
    <col min="8" max="9" width="12" customWidth="1"/>
    <col min="10" max="10" width="16" customWidth="1"/>
    <col min="11" max="11" width="10" customWidth="1"/>
    <col min="13" max="13" width="11" customWidth="1"/>
    <col min="14" max="14" width="30" customWidth="1"/>
  </cols>
  <sheetData>
    <row r="1" ht="32" customHeight="1" spans="2:2" x14ac:dyDescent="0.25">
      <c r="B1" s="1" t="s">
        <v>36</v>
      </c>
    </row>
    <row r="2" ht="18" customHeight="1" spans="2:13" x14ac:dyDescent="0.25">
      <c r="B2" s="2" t="s">
        <v>411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30" customHeight="1" spans="2:14" x14ac:dyDescent="0.25">
      <c r="B4" s="10" t="s">
        <v>412</v>
      </c>
      <c r="C4" s="10" t="s">
        <v>413</v>
      </c>
      <c r="D4" s="10" t="s">
        <v>414</v>
      </c>
      <c r="E4" s="10" t="s">
        <v>415</v>
      </c>
      <c r="F4" s="10" t="s">
        <v>129</v>
      </c>
      <c r="G4" s="10" t="s">
        <v>416</v>
      </c>
      <c r="H4" s="10" t="s">
        <v>417</v>
      </c>
      <c r="I4" s="10" t="s">
        <v>418</v>
      </c>
      <c r="J4" s="10" t="s">
        <v>135</v>
      </c>
      <c r="K4" s="10" t="s">
        <v>419</v>
      </c>
      <c r="L4" s="10" t="s">
        <v>420</v>
      </c>
      <c r="M4" s="10" t="s">
        <v>421</v>
      </c>
      <c r="N4" s="10" t="s">
        <v>422</v>
      </c>
    </row>
    <row r="5" spans="2:14" x14ac:dyDescent="0.25">
      <c r="B5" s="8" t="s">
        <v>423</v>
      </c>
      <c r="C5" s="8" t="s">
        <v>424</v>
      </c>
      <c r="D5" s="8" t="s">
        <v>425</v>
      </c>
      <c r="E5" s="8" t="s">
        <v>232</v>
      </c>
      <c r="F5" s="8" t="s">
        <v>426</v>
      </c>
      <c r="G5" s="8" t="s">
        <v>427</v>
      </c>
      <c r="H5" s="21">
        <v>46315</v>
      </c>
      <c r="I5" s="21">
        <v>46330</v>
      </c>
      <c r="J5" s="8" t="s">
        <v>428</v>
      </c>
      <c r="K5" s="27">
        <v>0.6</v>
      </c>
      <c r="L5" s="24">
        <f>IF(J5="Completed","",I5-AsOfDate)</f>
        <v>5</v>
      </c>
      <c r="M5" s="9" t="str">
        <f>IF(J5="Completed","Done",IF(I5&lt;AsOfDate,"Overdue",IF(I5-AsOfDate&lt;=3,"Due soon","On track")))</f>
        <v>On track</v>
      </c>
      <c r="N5" s="8" t="s">
        <v>429</v>
      </c>
    </row>
    <row r="6" spans="2:14" x14ac:dyDescent="0.25">
      <c r="B6" s="8" t="s">
        <v>430</v>
      </c>
      <c r="C6" s="8" t="s">
        <v>431</v>
      </c>
      <c r="D6" s="8" t="s">
        <v>432</v>
      </c>
      <c r="E6" s="8" t="s">
        <v>232</v>
      </c>
      <c r="F6" s="8" t="s">
        <v>426</v>
      </c>
      <c r="G6" s="8" t="s">
        <v>427</v>
      </c>
      <c r="H6" s="21">
        <v>46317</v>
      </c>
      <c r="I6" s="21">
        <v>46324</v>
      </c>
      <c r="J6" s="8" t="s">
        <v>433</v>
      </c>
      <c r="K6" s="27">
        <v>1</v>
      </c>
      <c r="L6" s="24" t="str">
        <f>IF(J6="Completed","",I6-AsOfDate)</f>
        <v/>
      </c>
      <c r="M6" s="9" t="str">
        <f>IF(J6="Completed","Done",IF(I6&lt;AsOfDate,"Overdue",IF(I6-AsOfDate&lt;=3,"Due soon","On track")))</f>
        <v>Done</v>
      </c>
      <c r="N6" s="8" t="s">
        <v>434</v>
      </c>
    </row>
    <row r="7" spans="2:14" x14ac:dyDescent="0.25">
      <c r="B7" s="8" t="s">
        <v>435</v>
      </c>
      <c r="C7" s="8" t="s">
        <v>436</v>
      </c>
      <c r="D7" s="8" t="s">
        <v>437</v>
      </c>
      <c r="E7" s="8" t="s">
        <v>438</v>
      </c>
      <c r="F7" s="8" t="s">
        <v>426</v>
      </c>
      <c r="G7" s="8" t="s">
        <v>427</v>
      </c>
      <c r="H7" s="21">
        <v>46322</v>
      </c>
      <c r="I7" s="21">
        <v>46323</v>
      </c>
      <c r="J7" s="8" t="s">
        <v>433</v>
      </c>
      <c r="K7" s="27">
        <v>1</v>
      </c>
      <c r="L7" s="24" t="str">
        <f>IF(J7="Completed","",I7-AsOfDate)</f>
        <v/>
      </c>
      <c r="M7" s="9" t="str">
        <f>IF(J7="Completed","Done",IF(I7&lt;AsOfDate,"Overdue",IF(I7-AsOfDate&lt;=3,"Due soon","On track")))</f>
        <v>Done</v>
      </c>
      <c r="N7" s="8" t="s">
        <v>439</v>
      </c>
    </row>
    <row r="8" spans="2:14" x14ac:dyDescent="0.25">
      <c r="B8" s="8" t="s">
        <v>440</v>
      </c>
      <c r="C8" s="8" t="s">
        <v>441</v>
      </c>
      <c r="D8" s="8" t="s">
        <v>437</v>
      </c>
      <c r="E8" s="8" t="s">
        <v>438</v>
      </c>
      <c r="F8" s="8" t="s">
        <v>426</v>
      </c>
      <c r="G8" s="8" t="s">
        <v>427</v>
      </c>
      <c r="H8" s="21">
        <v>46319</v>
      </c>
      <c r="I8" s="21">
        <v>46324</v>
      </c>
      <c r="J8" s="8" t="s">
        <v>442</v>
      </c>
      <c r="K8" s="27">
        <v>0.5</v>
      </c>
      <c r="L8" s="24">
        <f>IF(J8="Completed","",I8-AsOfDate)</f>
        <v>-1</v>
      </c>
      <c r="M8" s="9" t="str">
        <f>IF(J8="Completed","Done",IF(I8&lt;AsOfDate,"Overdue",IF(I8-AsOfDate&lt;=3,"Due soon","On track")))</f>
        <v>Overdue</v>
      </c>
      <c r="N8" s="8" t="s">
        <v>443</v>
      </c>
    </row>
    <row r="9" spans="2:14" x14ac:dyDescent="0.25">
      <c r="B9" s="8" t="s">
        <v>444</v>
      </c>
      <c r="C9" s="8" t="s">
        <v>445</v>
      </c>
      <c r="D9" s="8" t="s">
        <v>302</v>
      </c>
      <c r="E9" s="8" t="s">
        <v>446</v>
      </c>
      <c r="F9" s="8" t="s">
        <v>426</v>
      </c>
      <c r="G9" s="8" t="s">
        <v>447</v>
      </c>
      <c r="H9" s="21">
        <v>46323</v>
      </c>
      <c r="I9" s="21">
        <v>46325</v>
      </c>
      <c r="J9" s="8" t="s">
        <v>428</v>
      </c>
      <c r="K9" s="27">
        <v>0.4</v>
      </c>
      <c r="L9" s="24">
        <f>IF(J9="Completed","",I9-AsOfDate)</f>
        <v>0</v>
      </c>
      <c r="M9" s="9" t="str">
        <f>IF(J9="Completed","Done",IF(I9&lt;AsOfDate,"Overdue",IF(I9-AsOfDate&lt;=3,"Due soon","On track")))</f>
        <v>Due soon</v>
      </c>
      <c r="N9" s="8" t="s">
        <v>439</v>
      </c>
    </row>
    <row r="10" spans="2:14" x14ac:dyDescent="0.25">
      <c r="B10" s="8" t="s">
        <v>448</v>
      </c>
      <c r="C10" s="8" t="s">
        <v>449</v>
      </c>
      <c r="D10" s="8" t="s">
        <v>68</v>
      </c>
      <c r="E10" s="8" t="s">
        <v>371</v>
      </c>
      <c r="F10" s="8" t="s">
        <v>426</v>
      </c>
      <c r="G10" s="8" t="s">
        <v>427</v>
      </c>
      <c r="H10" s="21">
        <v>46324</v>
      </c>
      <c r="I10" s="21">
        <v>46325</v>
      </c>
      <c r="J10" s="8" t="s">
        <v>428</v>
      </c>
      <c r="K10" s="27">
        <v>0.7</v>
      </c>
      <c r="L10" s="24">
        <f>IF(J10="Completed","",I10-AsOfDate)</f>
        <v>0</v>
      </c>
      <c r="M10" s="9" t="str">
        <f>IF(J10="Completed","Done",IF(I10&lt;AsOfDate,"Overdue",IF(I10-AsOfDate&lt;=3,"Due soon","On track")))</f>
        <v>Due soon</v>
      </c>
      <c r="N10" s="8" t="s">
        <v>439</v>
      </c>
    </row>
    <row r="11" spans="2:14" x14ac:dyDescent="0.25">
      <c r="B11" s="8" t="s">
        <v>450</v>
      </c>
      <c r="C11" s="8" t="s">
        <v>451</v>
      </c>
      <c r="D11" s="8" t="s">
        <v>452</v>
      </c>
      <c r="E11" s="8" t="s">
        <v>325</v>
      </c>
      <c r="F11" s="8" t="s">
        <v>426</v>
      </c>
      <c r="G11" s="8" t="s">
        <v>447</v>
      </c>
      <c r="H11" s="21">
        <v>46310</v>
      </c>
      <c r="I11" s="21">
        <v>46332</v>
      </c>
      <c r="J11" s="8" t="s">
        <v>428</v>
      </c>
      <c r="K11" s="27">
        <v>0.3</v>
      </c>
      <c r="L11" s="24">
        <f>IF(J11="Completed","",I11-AsOfDate)</f>
        <v>7</v>
      </c>
      <c r="M11" s="9" t="str">
        <f>IF(J11="Completed","Done",IF(I11&lt;AsOfDate,"Overdue",IF(I11-AsOfDate&lt;=3,"Due soon","On track")))</f>
        <v>On track</v>
      </c>
      <c r="N11" s="8" t="s">
        <v>453</v>
      </c>
    </row>
    <row r="12" spans="2:14" x14ac:dyDescent="0.25">
      <c r="B12" s="8" t="s">
        <v>454</v>
      </c>
      <c r="C12" s="8" t="s">
        <v>455</v>
      </c>
      <c r="D12" s="8" t="s">
        <v>452</v>
      </c>
      <c r="E12" s="8" t="s">
        <v>409</v>
      </c>
      <c r="F12" s="8" t="s">
        <v>426</v>
      </c>
      <c r="G12" s="8" t="s">
        <v>447</v>
      </c>
      <c r="H12" s="21">
        <v>46315</v>
      </c>
      <c r="I12" s="21">
        <v>46322</v>
      </c>
      <c r="J12" s="8" t="s">
        <v>456</v>
      </c>
      <c r="K12" s="27">
        <v>0</v>
      </c>
      <c r="L12" s="24">
        <f>IF(J12="Completed","",I12-AsOfDate)</f>
        <v>-3</v>
      </c>
      <c r="M12" s="9" t="str">
        <f>IF(J12="Completed","Done",IF(I12&lt;AsOfDate,"Overdue",IF(I12-AsOfDate&lt;=3,"Due soon","On track")))</f>
        <v>Overdue</v>
      </c>
      <c r="N12" s="8" t="s">
        <v>457</v>
      </c>
    </row>
    <row r="13" spans="2:14" x14ac:dyDescent="0.25">
      <c r="B13" s="8" t="s">
        <v>458</v>
      </c>
      <c r="C13" s="8" t="s">
        <v>459</v>
      </c>
      <c r="D13" s="8" t="s">
        <v>244</v>
      </c>
      <c r="E13" s="8" t="s">
        <v>232</v>
      </c>
      <c r="F13" s="8" t="s">
        <v>426</v>
      </c>
      <c r="G13" s="8" t="s">
        <v>447</v>
      </c>
      <c r="H13" s="21">
        <v>46321</v>
      </c>
      <c r="I13" s="21">
        <v>46328</v>
      </c>
      <c r="J13" s="8" t="s">
        <v>456</v>
      </c>
      <c r="K13" s="27">
        <v>0</v>
      </c>
      <c r="L13" s="24">
        <f>IF(J13="Completed","",I13-AsOfDate)</f>
        <v>3</v>
      </c>
      <c r="M13" s="9" t="str">
        <f>IF(J13="Completed","Done",IF(I13&lt;AsOfDate,"Overdue",IF(I13-AsOfDate&lt;=3,"Due soon","On track")))</f>
        <v>Due soon</v>
      </c>
      <c r="N13" s="8" t="s">
        <v>439</v>
      </c>
    </row>
    <row r="14" spans="2:14" x14ac:dyDescent="0.25">
      <c r="B14" s="8" t="s">
        <v>460</v>
      </c>
      <c r="C14" s="8" t="s">
        <v>461</v>
      </c>
      <c r="D14" s="8" t="s">
        <v>462</v>
      </c>
      <c r="E14" s="8" t="s">
        <v>409</v>
      </c>
      <c r="F14" s="8" t="s">
        <v>426</v>
      </c>
      <c r="G14" s="8" t="s">
        <v>427</v>
      </c>
      <c r="H14" s="21">
        <v>46324</v>
      </c>
      <c r="I14" s="21">
        <v>46329</v>
      </c>
      <c r="J14" s="8" t="s">
        <v>428</v>
      </c>
      <c r="K14" s="27">
        <v>0.5</v>
      </c>
      <c r="L14" s="24">
        <f>IF(J14="Completed","",I14-AsOfDate)</f>
        <v>4</v>
      </c>
      <c r="M14" s="9" t="str">
        <f>IF(J14="Completed","Done",IF(I14&lt;AsOfDate,"Overdue",IF(I14-AsOfDate&lt;=3,"Due soon","On track")))</f>
        <v>On track</v>
      </c>
      <c r="N14" s="8" t="s">
        <v>463</v>
      </c>
    </row>
    <row r="15" spans="2:14" x14ac:dyDescent="0.25">
      <c r="B15" s="8" t="s">
        <v>464</v>
      </c>
      <c r="C15" s="8" t="s">
        <v>465</v>
      </c>
      <c r="D15" s="8" t="s">
        <v>437</v>
      </c>
      <c r="E15" s="8" t="s">
        <v>438</v>
      </c>
      <c r="F15" s="8" t="s">
        <v>426</v>
      </c>
      <c r="G15" s="8" t="s">
        <v>466</v>
      </c>
      <c r="H15" s="21">
        <v>46323</v>
      </c>
      <c r="I15" s="21">
        <v>46331</v>
      </c>
      <c r="J15" s="8" t="s">
        <v>456</v>
      </c>
      <c r="K15" s="27">
        <v>0</v>
      </c>
      <c r="L15" s="24">
        <f>IF(J15="Completed","",I15-AsOfDate)</f>
        <v>6</v>
      </c>
      <c r="M15" s="9" t="str">
        <f>IF(J15="Completed","Done",IF(I15&lt;AsOfDate,"Overdue",IF(I15-AsOfDate&lt;=3,"Due soon","On track")))</f>
        <v>On track</v>
      </c>
      <c r="N15" s="8" t="s">
        <v>439</v>
      </c>
    </row>
    <row r="16" spans="2:14" x14ac:dyDescent="0.25">
      <c r="B16" s="8" t="s">
        <v>467</v>
      </c>
      <c r="C16" s="8" t="s">
        <v>468</v>
      </c>
      <c r="D16" s="8" t="s">
        <v>469</v>
      </c>
      <c r="E16" s="8" t="s">
        <v>232</v>
      </c>
      <c r="F16" s="8" t="s">
        <v>426</v>
      </c>
      <c r="G16" s="8" t="s">
        <v>447</v>
      </c>
      <c r="H16" s="21">
        <v>46325</v>
      </c>
      <c r="I16" s="21">
        <v>46329</v>
      </c>
      <c r="J16" s="8" t="s">
        <v>456</v>
      </c>
      <c r="K16" s="27">
        <v>0</v>
      </c>
      <c r="L16" s="24">
        <f>IF(J16="Completed","",I16-AsOfDate)</f>
        <v>4</v>
      </c>
      <c r="M16" s="9" t="str">
        <f>IF(J16="Completed","Done",IF(I16&lt;AsOfDate,"Overdue",IF(I16-AsOfDate&lt;=3,"Due soon","On track")))</f>
        <v>On track</v>
      </c>
      <c r="N16" s="8" t="s">
        <v>439</v>
      </c>
    </row>
    <row r="17" spans="2:14" x14ac:dyDescent="0.25">
      <c r="B17" s="8" t="s">
        <v>470</v>
      </c>
      <c r="C17" s="8" t="s">
        <v>471</v>
      </c>
      <c r="D17" s="8" t="s">
        <v>472</v>
      </c>
      <c r="E17" s="8" t="s">
        <v>325</v>
      </c>
      <c r="F17" s="8" t="s">
        <v>426</v>
      </c>
      <c r="G17" s="8" t="s">
        <v>466</v>
      </c>
      <c r="H17" s="21">
        <v>46305</v>
      </c>
      <c r="I17" s="21">
        <v>46320</v>
      </c>
      <c r="J17" s="8" t="s">
        <v>433</v>
      </c>
      <c r="K17" s="27">
        <v>1</v>
      </c>
      <c r="L17" s="24" t="str">
        <f>IF(J17="Completed","",I17-AsOfDate)</f>
        <v/>
      </c>
      <c r="M17" s="9" t="str">
        <f>IF(J17="Completed","Done",IF(I17&lt;AsOfDate,"Overdue",IF(I17-AsOfDate&lt;=3,"Due soon","On track")))</f>
        <v>Done</v>
      </c>
      <c r="N17" s="8" t="s">
        <v>439</v>
      </c>
    </row>
    <row r="18" spans="2:14" x14ac:dyDescent="0.25">
      <c r="B18" s="8" t="s">
        <v>473</v>
      </c>
      <c r="C18" s="8" t="s">
        <v>474</v>
      </c>
      <c r="D18" s="8" t="s">
        <v>52</v>
      </c>
      <c r="E18" s="8" t="s">
        <v>325</v>
      </c>
      <c r="F18" s="8" t="s">
        <v>426</v>
      </c>
      <c r="G18" s="8" t="s">
        <v>447</v>
      </c>
      <c r="H18" s="21">
        <v>46307</v>
      </c>
      <c r="I18" s="21">
        <v>46318</v>
      </c>
      <c r="J18" s="8" t="s">
        <v>433</v>
      </c>
      <c r="K18" s="27">
        <v>1</v>
      </c>
      <c r="L18" s="24" t="str">
        <f>IF(J18="Completed","",I18-AsOfDate)</f>
        <v/>
      </c>
      <c r="M18" s="9" t="str">
        <f>IF(J18="Completed","Done",IF(I18&lt;AsOfDate,"Overdue",IF(I18-AsOfDate&lt;=3,"Due soon","On track")))</f>
        <v>Done</v>
      </c>
      <c r="N18" s="8" t="s">
        <v>475</v>
      </c>
    </row>
    <row r="19" spans="2:14" x14ac:dyDescent="0.25">
      <c r="B19" s="8" t="s">
        <v>476</v>
      </c>
      <c r="C19" s="8" t="s">
        <v>477</v>
      </c>
      <c r="D19" s="8" t="s">
        <v>478</v>
      </c>
      <c r="E19" s="8" t="s">
        <v>438</v>
      </c>
      <c r="F19" s="8" t="s">
        <v>426</v>
      </c>
      <c r="G19" s="8" t="s">
        <v>447</v>
      </c>
      <c r="H19" s="21">
        <v>46322</v>
      </c>
      <c r="I19" s="21">
        <v>46326</v>
      </c>
      <c r="J19" s="8" t="s">
        <v>428</v>
      </c>
      <c r="K19" s="27">
        <v>0.5</v>
      </c>
      <c r="L19" s="24">
        <f>IF(J19="Completed","",I19-AsOfDate)</f>
        <v>1</v>
      </c>
      <c r="M19" s="9" t="str">
        <f>IF(J19="Completed","Done",IF(I19&lt;AsOfDate,"Overdue",IF(I19-AsOfDate&lt;=3,"Due soon","On track")))</f>
        <v>Due soon</v>
      </c>
      <c r="N19" s="8" t="s">
        <v>439</v>
      </c>
    </row>
    <row r="20" spans="2:14" x14ac:dyDescent="0.25">
      <c r="B20" s="8" t="s">
        <v>479</v>
      </c>
      <c r="C20" s="8" t="s">
        <v>480</v>
      </c>
      <c r="D20" s="8" t="s">
        <v>302</v>
      </c>
      <c r="E20" s="8" t="s">
        <v>446</v>
      </c>
      <c r="F20" s="8" t="s">
        <v>426</v>
      </c>
      <c r="G20" s="8" t="s">
        <v>466</v>
      </c>
      <c r="H20" s="21">
        <v>46296</v>
      </c>
      <c r="I20" s="21">
        <v>46340</v>
      </c>
      <c r="J20" s="8" t="s">
        <v>428</v>
      </c>
      <c r="K20" s="27">
        <v>0.25</v>
      </c>
      <c r="L20" s="24">
        <f>IF(J20="Completed","",I20-AsOfDate)</f>
        <v>15</v>
      </c>
      <c r="M20" s="9" t="str">
        <f>IF(J20="Completed","Done",IF(I20&lt;AsOfDate,"Overdue",IF(I20-AsOfDate&lt;=3,"Due soon","On track")))</f>
        <v>On track</v>
      </c>
      <c r="N20" s="8" t="s">
        <v>481</v>
      </c>
    </row>
    <row r="21" spans="2:14" x14ac:dyDescent="0.25">
      <c r="B21" s="8" t="s">
        <v>482</v>
      </c>
      <c r="C21" s="8" t="s">
        <v>483</v>
      </c>
      <c r="D21" s="8" t="s">
        <v>472</v>
      </c>
      <c r="E21" s="8" t="s">
        <v>371</v>
      </c>
      <c r="F21" s="8" t="s">
        <v>426</v>
      </c>
      <c r="G21" s="8" t="s">
        <v>466</v>
      </c>
      <c r="H21" s="21">
        <v>46320</v>
      </c>
      <c r="I21" s="21">
        <v>46328</v>
      </c>
      <c r="J21" s="8" t="s">
        <v>442</v>
      </c>
      <c r="K21" s="27">
        <v>0.5</v>
      </c>
      <c r="L21" s="24">
        <f>IF(J21="Completed","",I21-AsOfDate)</f>
        <v>3</v>
      </c>
      <c r="M21" s="9" t="str">
        <f>IF(J21="Completed","Done",IF(I21&lt;AsOfDate,"Overdue",IF(I21-AsOfDate&lt;=3,"Due soon","On track")))</f>
        <v>Due soon</v>
      </c>
      <c r="N21" s="8" t="s">
        <v>439</v>
      </c>
    </row>
    <row r="22" spans="2:14" x14ac:dyDescent="0.25">
      <c r="B22" s="8" t="s">
        <v>484</v>
      </c>
      <c r="C22" s="8" t="s">
        <v>485</v>
      </c>
      <c r="D22" s="8" t="s">
        <v>486</v>
      </c>
      <c r="E22" s="8" t="s">
        <v>325</v>
      </c>
      <c r="F22" s="8" t="s">
        <v>426</v>
      </c>
      <c r="G22" s="8" t="s">
        <v>447</v>
      </c>
      <c r="H22" s="21">
        <v>46316</v>
      </c>
      <c r="I22" s="21">
        <v>46323</v>
      </c>
      <c r="J22" s="8" t="s">
        <v>442</v>
      </c>
      <c r="K22" s="27">
        <v>0.8</v>
      </c>
      <c r="L22" s="24">
        <f>IF(J22="Completed","",I22-AsOfDate)</f>
        <v>-2</v>
      </c>
      <c r="M22" s="9" t="str">
        <f>IF(J22="Completed","Done",IF(I22&lt;AsOfDate,"Overdue",IF(I22-AsOfDate&lt;=3,"Due soon","On track")))</f>
        <v>Overdue</v>
      </c>
      <c r="N22" s="8" t="s">
        <v>487</v>
      </c>
    </row>
  </sheetData>
  <autoFilter ref="B4:N22"/>
  <mergeCells count="1">
    <mergeCell ref="B2:M2"/>
  </mergeCells>
  <conditionalFormatting sqref="M5:M22">
    <cfRule type="expression" dxfId="3" priority="1">
      <formula>M5="Overdue"</formula>
    </cfRule>
  </conditionalFormatting>
  <conditionalFormatting sqref="M5:M22">
    <cfRule type="expression" dxfId="4" priority="2">
      <formula>M5="Due soon"</formula>
    </cfRule>
  </conditionalFormatting>
  <conditionalFormatting sqref="M5:M22">
    <cfRule type="expression" dxfId="5" priority="3">
      <formula>M5="Done"</formula>
    </cfRule>
  </conditionalFormatting>
  <dataValidations count="4">
    <dataValidation type="list" allowBlank="1" showErrorMessage="1" errorTitle="Pick from the list" error="Please choose one of the options in the drop-down list." sqref="G10:G22">
      <formula1>Lists!$A$2:$A$4</formula1>
    </dataValidation>
    <dataValidation type="list" allowBlank="1" showErrorMessage="1" errorTitle="Pick from the list" error="Please choose one of the options in the drop-down list." sqref="G5:G22">
      <formula1>Lists!$A$2:$A$4</formula1>
    </dataValidation>
    <dataValidation type="list" allowBlank="1" showErrorMessage="1" errorTitle="Pick from the list" error="Please choose one of the options in the drop-down list." sqref="J10:J22">
      <formula1>Lists!$B$2:$B$5</formula1>
    </dataValidation>
    <dataValidation type="list" allowBlank="1" showErrorMessage="1" errorTitle="Pick from the list" error="Please choose one of the options in the drop-down list." sqref="J5:J22">
      <formula1>Lists!$B$2:$B$5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P30"/>
  <sheetViews>
    <sheetView workbookViewId="0" showGridLines="0">
      <pane xSplit="3" ySplit="4" topLeftCell="D5" activePane="bottomRight" state="frozen"/>
      <selection pane="bottomRight"/>
    </sheetView>
  </sheetViews>
  <sheetFormatPr defaultRowHeight="16" outlineLevelRow="0" outlineLevelCol="0" x14ac:dyDescent="55" customHeight="1"/>
  <cols>
    <col min="1" max="1" width="2" customWidth="1"/>
    <col min="2" max="2" width="10" customWidth="1"/>
    <col min="3" max="3" width="24" customWidth="1"/>
    <col min="4" max="4" width="28" customWidth="1"/>
    <col min="5" max="5" width="12" customWidth="1"/>
    <col min="6" max="6" width="8" customWidth="1"/>
    <col min="7" max="10" width="12" customWidth="1"/>
    <col min="12" max="13" width="12" customWidth="1"/>
    <col min="14" max="14" width="20" customWidth="1"/>
    <col min="15" max="15" width="12" customWidth="1"/>
    <col min="16" max="16" width="11" customWidth="1"/>
  </cols>
  <sheetData>
    <row r="1" ht="32" customHeight="1" spans="2:2" x14ac:dyDescent="0.25">
      <c r="B1" s="1" t="s">
        <v>488</v>
      </c>
    </row>
    <row r="2" ht="18" customHeight="1" spans="2:15" x14ac:dyDescent="0.25">
      <c r="B2" s="2" t="s">
        <v>489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0" customHeight="1" spans="2:16" x14ac:dyDescent="0.25">
      <c r="B4" s="10" t="s">
        <v>490</v>
      </c>
      <c r="C4" s="10" t="s">
        <v>491</v>
      </c>
      <c r="D4" s="10" t="s">
        <v>492</v>
      </c>
      <c r="E4" s="10" t="s">
        <v>493</v>
      </c>
      <c r="F4" s="10" t="s">
        <v>494</v>
      </c>
      <c r="G4" s="10" t="s">
        <v>495</v>
      </c>
      <c r="H4" s="10" t="s">
        <v>496</v>
      </c>
      <c r="I4" s="10" t="s">
        <v>497</v>
      </c>
      <c r="J4" s="10" t="s">
        <v>498</v>
      </c>
      <c r="K4" s="10" t="s">
        <v>499</v>
      </c>
      <c r="L4" s="10" t="s">
        <v>500</v>
      </c>
      <c r="M4" s="10" t="s">
        <v>501</v>
      </c>
      <c r="N4" s="10" t="s">
        <v>502</v>
      </c>
      <c r="O4" s="10" t="s">
        <v>503</v>
      </c>
      <c r="P4" s="10" t="s">
        <v>135</v>
      </c>
    </row>
    <row r="5" spans="2:16" x14ac:dyDescent="0.25">
      <c r="B5" s="8" t="s">
        <v>504</v>
      </c>
      <c r="C5" s="8" t="s">
        <v>505</v>
      </c>
      <c r="D5" s="8" t="s">
        <v>506</v>
      </c>
      <c r="E5" s="21">
        <v>46266</v>
      </c>
      <c r="F5" s="22">
        <v>14</v>
      </c>
      <c r="G5" s="23">
        <f>E5+F5</f>
        <v>46280</v>
      </c>
      <c r="H5" s="28">
        <v>2450</v>
      </c>
      <c r="I5" s="28">
        <v>2450</v>
      </c>
      <c r="J5" s="29">
        <f>H5-I5</f>
        <v>0</v>
      </c>
      <c r="K5" s="24">
        <f>IF(J5&lt;=0,0,MAX(0,AsOfDate-G5))</f>
        <v>0</v>
      </c>
      <c r="L5" s="9" t="str">
        <f>IF(J5&lt;=0,"Paid",IF(K5=0,"Current",IF(K5&lt;=30,"1-30 days",IF(K5&lt;=60,"31-60 days",IF(K5&lt;=90,"61-90 days","90+ days")))))</f>
        <v>Paid</v>
      </c>
      <c r="M5" s="21">
        <v>46277</v>
      </c>
      <c r="N5" s="9" t="str">
        <f>IF(J5&lt;=0,"Closed",IF(K5=0,"Not yet due",IF(K5&lt;=7,"Reminder 1 (friendly)",IF(K5&lt;=21,"Reminder 2 (firm)",IF(K5&lt;=45,"Phone call","Escalate to manager")))))</f>
        <v>Closed</v>
      </c>
      <c r="O5" s="23" t="str">
        <f>IF(J5&lt;=0,"",IF(K5=0,G5,IF(M5="",AsOfDate,MAX(AsOfDate,M5+7))))</f>
        <v/>
      </c>
      <c r="P5" s="9" t="str">
        <f>IF(J5&lt;=0,"Paid",IF(I5&gt;0,"Part-paid",IF(K5&gt;0,"Overdue","Open")))</f>
        <v>Paid</v>
      </c>
    </row>
    <row r="6" spans="2:16" x14ac:dyDescent="0.25">
      <c r="B6" s="8" t="s">
        <v>507</v>
      </c>
      <c r="C6" s="8" t="s">
        <v>508</v>
      </c>
      <c r="D6" s="8" t="s">
        <v>509</v>
      </c>
      <c r="E6" s="21">
        <v>46270</v>
      </c>
      <c r="F6" s="22">
        <v>30</v>
      </c>
      <c r="G6" s="23">
        <f>E6+F6</f>
        <v>46300</v>
      </c>
      <c r="H6" s="28">
        <v>5800</v>
      </c>
      <c r="I6" s="28">
        <v>0</v>
      </c>
      <c r="J6" s="29">
        <f>H6-I6</f>
        <v>5800</v>
      </c>
      <c r="K6" s="24">
        <f>IF(J6&lt;=0,0,MAX(0,AsOfDate-G6))</f>
        <v>25</v>
      </c>
      <c r="L6" s="9" t="str">
        <f>IF(J6&lt;=0,"Paid",IF(K6=0,"Current",IF(K6&lt;=30,"1-30 days",IF(K6&lt;=60,"31-60 days",IF(K6&lt;=90,"61-90 days","90+ days")))))</f>
        <v>1-30 days</v>
      </c>
      <c r="M6" s="21">
        <v>46309</v>
      </c>
      <c r="N6" s="9" t="str">
        <f>IF(J6&lt;=0,"Closed",IF(K6=0,"Not yet due",IF(K6&lt;=7,"Reminder 1 (friendly)",IF(K6&lt;=21,"Reminder 2 (firm)",IF(K6&lt;=45,"Phone call","Escalate to manager")))))</f>
        <v>Phone call</v>
      </c>
      <c r="O6" s="23">
        <f>IF(J6&lt;=0,"",IF(K6=0,G6,IF(M6="",AsOfDate,MAX(AsOfDate,M6+7))))</f>
        <v>46325</v>
      </c>
      <c r="P6" s="9" t="str">
        <f>IF(J6&lt;=0,"Paid",IF(I6&gt;0,"Part-paid",IF(K6&gt;0,"Overdue","Open")))</f>
        <v>Overdue</v>
      </c>
    </row>
    <row r="7" spans="2:16" x14ac:dyDescent="0.25">
      <c r="B7" s="8" t="s">
        <v>510</v>
      </c>
      <c r="C7" s="8" t="s">
        <v>511</v>
      </c>
      <c r="D7" s="8" t="s">
        <v>512</v>
      </c>
      <c r="E7" s="21">
        <v>46275</v>
      </c>
      <c r="F7" s="22">
        <v>14</v>
      </c>
      <c r="G7" s="23">
        <f>E7+F7</f>
        <v>46289</v>
      </c>
      <c r="H7" s="28">
        <v>1320</v>
      </c>
      <c r="I7" s="28">
        <v>0</v>
      </c>
      <c r="J7" s="29">
        <f>H7-I7</f>
        <v>1320</v>
      </c>
      <c r="K7" s="24">
        <f>IF(J7&lt;=0,0,MAX(0,AsOfDate-G7))</f>
        <v>36</v>
      </c>
      <c r="L7" s="9" t="str">
        <f>IF(J7&lt;=0,"Paid",IF(K7=0,"Current",IF(K7&lt;=30,"1-30 days",IF(K7&lt;=60,"31-60 days",IF(K7&lt;=90,"61-90 days","90+ days")))))</f>
        <v>31-60 days</v>
      </c>
      <c r="M7" s="21">
        <v>46317</v>
      </c>
      <c r="N7" s="9" t="str">
        <f>IF(J7&lt;=0,"Closed",IF(K7=0,"Not yet due",IF(K7&lt;=7,"Reminder 1 (friendly)",IF(K7&lt;=21,"Reminder 2 (firm)",IF(K7&lt;=45,"Phone call","Escalate to manager")))))</f>
        <v>Phone call</v>
      </c>
      <c r="O7" s="23">
        <f>IF(J7&lt;=0,"",IF(K7=0,G7,IF(M7="",AsOfDate,MAX(AsOfDate,M7+7))))</f>
        <v>46325</v>
      </c>
      <c r="P7" s="9" t="str">
        <f>IF(J7&lt;=0,"Paid",IF(I7&gt;0,"Part-paid",IF(K7&gt;0,"Overdue","Open")))</f>
        <v>Overdue</v>
      </c>
    </row>
    <row r="8" spans="2:16" x14ac:dyDescent="0.25">
      <c r="B8" s="8" t="s">
        <v>513</v>
      </c>
      <c r="C8" s="8" t="s">
        <v>514</v>
      </c>
      <c r="D8" s="8" t="s">
        <v>515</v>
      </c>
      <c r="E8" s="21">
        <v>46280</v>
      </c>
      <c r="F8" s="22">
        <v>30</v>
      </c>
      <c r="G8" s="23">
        <f>E8+F8</f>
        <v>46310</v>
      </c>
      <c r="H8" s="28">
        <v>3975</v>
      </c>
      <c r="I8" s="28">
        <v>2000</v>
      </c>
      <c r="J8" s="29">
        <f>H8-I8</f>
        <v>1975</v>
      </c>
      <c r="K8" s="24">
        <f>IF(J8&lt;=0,0,MAX(0,AsOfDate-G8))</f>
        <v>15</v>
      </c>
      <c r="L8" s="9" t="str">
        <f>IF(J8&lt;=0,"Paid",IF(K8=0,"Current",IF(K8&lt;=30,"1-30 days",IF(K8&lt;=60,"31-60 days",IF(K8&lt;=90,"61-90 days","90+ days")))))</f>
        <v>1-30 days</v>
      </c>
      <c r="M8" s="21">
        <v>46322</v>
      </c>
      <c r="N8" s="9" t="str">
        <f>IF(J8&lt;=0,"Closed",IF(K8=0,"Not yet due",IF(K8&lt;=7,"Reminder 1 (friendly)",IF(K8&lt;=21,"Reminder 2 (firm)",IF(K8&lt;=45,"Phone call","Escalate to manager")))))</f>
        <v>Reminder 2 (firm)</v>
      </c>
      <c r="O8" s="23">
        <f>IF(J8&lt;=0,"",IF(K8=0,G8,IF(M8="",AsOfDate,MAX(AsOfDate,M8+7))))</f>
        <v>46329</v>
      </c>
      <c r="P8" s="9" t="str">
        <f>IF(J8&lt;=0,"Paid",IF(I8&gt;0,"Part-paid",IF(K8&gt;0,"Overdue","Open")))</f>
        <v>Part-paid</v>
      </c>
    </row>
    <row r="9" spans="2:16" x14ac:dyDescent="0.25">
      <c r="B9" s="8" t="s">
        <v>516</v>
      </c>
      <c r="C9" s="8" t="s">
        <v>517</v>
      </c>
      <c r="D9" s="8" t="s">
        <v>518</v>
      </c>
      <c r="E9" s="21">
        <v>46285</v>
      </c>
      <c r="F9" s="22">
        <v>14</v>
      </c>
      <c r="G9" s="23">
        <f>E9+F9</f>
        <v>46299</v>
      </c>
      <c r="H9" s="28">
        <v>860</v>
      </c>
      <c r="I9" s="28">
        <v>0</v>
      </c>
      <c r="J9" s="29">
        <f>H9-I9</f>
        <v>860</v>
      </c>
      <c r="K9" s="24">
        <f>IF(J9&lt;=0,0,MAX(0,AsOfDate-G9))</f>
        <v>26</v>
      </c>
      <c r="L9" s="9" t="str">
        <f>IF(J9&lt;=0,"Paid",IF(K9=0,"Current",IF(K9&lt;=30,"1-30 days",IF(K9&lt;=60,"31-60 days",IF(K9&lt;=90,"61-90 days","90+ days")))))</f>
        <v>1-30 days</v>
      </c>
      <c r="M9" s="21"/>
      <c r="N9" s="9" t="str">
        <f>IF(J9&lt;=0,"Closed",IF(K9=0,"Not yet due",IF(K9&lt;=7,"Reminder 1 (friendly)",IF(K9&lt;=21,"Reminder 2 (firm)",IF(K9&lt;=45,"Phone call","Escalate to manager")))))</f>
        <v>Phone call</v>
      </c>
      <c r="O9" s="23">
        <f>IF(J9&lt;=0,"",IF(K9=0,G9,IF(M9="",AsOfDate,MAX(AsOfDate,M9+7))))</f>
        <v>46325</v>
      </c>
      <c r="P9" s="9" t="str">
        <f>IF(J9&lt;=0,"Paid",IF(I9&gt;0,"Part-paid",IF(K9&gt;0,"Overdue","Open")))</f>
        <v>Overdue</v>
      </c>
    </row>
    <row r="10" spans="2:16" x14ac:dyDescent="0.25">
      <c r="B10" s="8" t="s">
        <v>519</v>
      </c>
      <c r="C10" s="8" t="s">
        <v>520</v>
      </c>
      <c r="D10" s="8" t="s">
        <v>521</v>
      </c>
      <c r="E10" s="21">
        <v>46290</v>
      </c>
      <c r="F10" s="22">
        <v>30</v>
      </c>
      <c r="G10" s="23">
        <f>E10+F10</f>
        <v>46320</v>
      </c>
      <c r="H10" s="28">
        <v>7200</v>
      </c>
      <c r="I10" s="28">
        <v>7200</v>
      </c>
      <c r="J10" s="29">
        <f>H10-I10</f>
        <v>0</v>
      </c>
      <c r="K10" s="24">
        <f>IF(J10&lt;=0,0,MAX(0,AsOfDate-G10))</f>
        <v>0</v>
      </c>
      <c r="L10" s="9" t="str">
        <f>IF(J10&lt;=0,"Paid",IF(K10=0,"Current",IF(K10&lt;=30,"1-30 days",IF(K10&lt;=60,"31-60 days",IF(K10&lt;=90,"61-90 days","90+ days")))))</f>
        <v>Paid</v>
      </c>
      <c r="M10" s="21">
        <v>46315</v>
      </c>
      <c r="N10" s="9" t="str">
        <f>IF(J10&lt;=0,"Closed",IF(K10=0,"Not yet due",IF(K10&lt;=7,"Reminder 1 (friendly)",IF(K10&lt;=21,"Reminder 2 (firm)",IF(K10&lt;=45,"Phone call","Escalate to manager")))))</f>
        <v>Closed</v>
      </c>
      <c r="O10" s="23" t="str">
        <f>IF(J10&lt;=0,"",IF(K10=0,G10,IF(M10="",AsOfDate,MAX(AsOfDate,M10+7))))</f>
        <v/>
      </c>
      <c r="P10" s="9" t="str">
        <f>IF(J10&lt;=0,"Paid",IF(I10&gt;0,"Part-paid",IF(K10&gt;0,"Overdue","Open")))</f>
        <v>Paid</v>
      </c>
    </row>
    <row r="11" spans="2:16" x14ac:dyDescent="0.25">
      <c r="B11" s="8" t="s">
        <v>522</v>
      </c>
      <c r="C11" s="8" t="s">
        <v>523</v>
      </c>
      <c r="D11" s="8" t="s">
        <v>524</v>
      </c>
      <c r="E11" s="21">
        <v>46252</v>
      </c>
      <c r="F11" s="22">
        <v>14</v>
      </c>
      <c r="G11" s="23">
        <f>E11+F11</f>
        <v>46266</v>
      </c>
      <c r="H11" s="28">
        <v>2150</v>
      </c>
      <c r="I11" s="28">
        <v>0</v>
      </c>
      <c r="J11" s="29">
        <f>H11-I11</f>
        <v>2150</v>
      </c>
      <c r="K11" s="24">
        <f>IF(J11&lt;=0,0,MAX(0,AsOfDate-G11))</f>
        <v>59</v>
      </c>
      <c r="L11" s="9" t="str">
        <f>IF(J11&lt;=0,"Paid",IF(K11=0,"Current",IF(K11&lt;=30,"1-30 days",IF(K11&lt;=60,"31-60 days",IF(K11&lt;=90,"61-90 days","90+ days")))))</f>
        <v>31-60 days</v>
      </c>
      <c r="M11" s="21">
        <v>46304</v>
      </c>
      <c r="N11" s="9" t="str">
        <f>IF(J11&lt;=0,"Closed",IF(K11=0,"Not yet due",IF(K11&lt;=7,"Reminder 1 (friendly)",IF(K11&lt;=21,"Reminder 2 (firm)",IF(K11&lt;=45,"Phone call","Escalate to manager")))))</f>
        <v>Escalate to manager</v>
      </c>
      <c r="O11" s="23">
        <f>IF(J11&lt;=0,"",IF(K11=0,G11,IF(M11="",AsOfDate,MAX(AsOfDate,M11+7))))</f>
        <v>46325</v>
      </c>
      <c r="P11" s="9" t="str">
        <f>IF(J11&lt;=0,"Paid",IF(I11&gt;0,"Part-paid",IF(K11&gt;0,"Overdue","Open")))</f>
        <v>Overdue</v>
      </c>
    </row>
    <row r="12" spans="2:16" x14ac:dyDescent="0.25">
      <c r="B12" s="8" t="s">
        <v>525</v>
      </c>
      <c r="C12" s="8" t="s">
        <v>526</v>
      </c>
      <c r="D12" s="8" t="s">
        <v>527</v>
      </c>
      <c r="E12" s="21">
        <v>46296</v>
      </c>
      <c r="F12" s="22">
        <v>14</v>
      </c>
      <c r="G12" s="23">
        <f>E12+F12</f>
        <v>46310</v>
      </c>
      <c r="H12" s="28">
        <v>990</v>
      </c>
      <c r="I12" s="28">
        <v>0</v>
      </c>
      <c r="J12" s="29">
        <f>H12-I12</f>
        <v>990</v>
      </c>
      <c r="K12" s="24">
        <f>IF(J12&lt;=0,0,MAX(0,AsOfDate-G12))</f>
        <v>15</v>
      </c>
      <c r="L12" s="9" t="str">
        <f>IF(J12&lt;=0,"Paid",IF(K12=0,"Current",IF(K12&lt;=30,"1-30 days",IF(K12&lt;=60,"31-60 days",IF(K12&lt;=90,"61-90 days","90+ days")))))</f>
        <v>1-30 days</v>
      </c>
      <c r="M12" s="21">
        <v>46315</v>
      </c>
      <c r="N12" s="9" t="str">
        <f>IF(J12&lt;=0,"Closed",IF(K12=0,"Not yet due",IF(K12&lt;=7,"Reminder 1 (friendly)",IF(K12&lt;=21,"Reminder 2 (firm)",IF(K12&lt;=45,"Phone call","Escalate to manager")))))</f>
        <v>Reminder 2 (firm)</v>
      </c>
      <c r="O12" s="23">
        <f>IF(J12&lt;=0,"",IF(K12=0,G12,IF(M12="",AsOfDate,MAX(AsOfDate,M12+7))))</f>
        <v>46325</v>
      </c>
      <c r="P12" s="9" t="str">
        <f>IF(J12&lt;=0,"Paid",IF(I12&gt;0,"Part-paid",IF(K12&gt;0,"Overdue","Open")))</f>
        <v>Overdue</v>
      </c>
    </row>
    <row r="13" spans="2:16" x14ac:dyDescent="0.25">
      <c r="B13" s="8" t="s">
        <v>528</v>
      </c>
      <c r="C13" s="8" t="s">
        <v>505</v>
      </c>
      <c r="D13" s="8" t="s">
        <v>506</v>
      </c>
      <c r="E13" s="21">
        <v>46296</v>
      </c>
      <c r="F13" s="22">
        <v>14</v>
      </c>
      <c r="G13" s="23">
        <f>E13+F13</f>
        <v>46310</v>
      </c>
      <c r="H13" s="28">
        <v>2450</v>
      </c>
      <c r="I13" s="28">
        <v>0</v>
      </c>
      <c r="J13" s="29">
        <f>H13-I13</f>
        <v>2450</v>
      </c>
      <c r="K13" s="24">
        <f>IF(J13&lt;=0,0,MAX(0,AsOfDate-G13))</f>
        <v>15</v>
      </c>
      <c r="L13" s="9" t="str">
        <f>IF(J13&lt;=0,"Paid",IF(K13=0,"Current",IF(K13&lt;=30,"1-30 days",IF(K13&lt;=60,"31-60 days",IF(K13&lt;=90,"61-90 days","90+ days")))))</f>
        <v>1-30 days</v>
      </c>
      <c r="M13" s="21">
        <v>46324</v>
      </c>
      <c r="N13" s="9" t="str">
        <f>IF(J13&lt;=0,"Closed",IF(K13=0,"Not yet due",IF(K13&lt;=7,"Reminder 1 (friendly)",IF(K13&lt;=21,"Reminder 2 (firm)",IF(K13&lt;=45,"Phone call","Escalate to manager")))))</f>
        <v>Reminder 2 (firm)</v>
      </c>
      <c r="O13" s="23">
        <f>IF(J13&lt;=0,"",IF(K13=0,G13,IF(M13="",AsOfDate,MAX(AsOfDate,M13+7))))</f>
        <v>46331</v>
      </c>
      <c r="P13" s="9" t="str">
        <f>IF(J13&lt;=0,"Paid",IF(I13&gt;0,"Part-paid",IF(K13&gt;0,"Overdue","Open")))</f>
        <v>Overdue</v>
      </c>
    </row>
    <row r="14" spans="2:16" x14ac:dyDescent="0.25">
      <c r="B14" s="8" t="s">
        <v>529</v>
      </c>
      <c r="C14" s="8" t="s">
        <v>508</v>
      </c>
      <c r="D14" s="8" t="s">
        <v>509</v>
      </c>
      <c r="E14" s="21">
        <v>46301</v>
      </c>
      <c r="F14" s="22">
        <v>30</v>
      </c>
      <c r="G14" s="23">
        <f>E14+F14</f>
        <v>46331</v>
      </c>
      <c r="H14" s="28">
        <v>5800</v>
      </c>
      <c r="I14" s="28">
        <v>0</v>
      </c>
      <c r="J14" s="29">
        <f>H14-I14</f>
        <v>5800</v>
      </c>
      <c r="K14" s="24">
        <f>IF(J14&lt;=0,0,MAX(0,AsOfDate-G14))</f>
        <v>0</v>
      </c>
      <c r="L14" s="9" t="str">
        <f>IF(J14&lt;=0,"Paid",IF(K14=0,"Current",IF(K14&lt;=30,"1-30 days",IF(K14&lt;=60,"31-60 days",IF(K14&lt;=90,"61-90 days","90+ days")))))</f>
        <v>Current</v>
      </c>
      <c r="M14" s="21"/>
      <c r="N14" s="9" t="str">
        <f>IF(J14&lt;=0,"Closed",IF(K14=0,"Not yet due",IF(K14&lt;=7,"Reminder 1 (friendly)",IF(K14&lt;=21,"Reminder 2 (firm)",IF(K14&lt;=45,"Phone call","Escalate to manager")))))</f>
        <v>Not yet due</v>
      </c>
      <c r="O14" s="23">
        <f>IF(J14&lt;=0,"",IF(K14=0,G14,IF(M14="",AsOfDate,MAX(AsOfDate,M14+7))))</f>
        <v>46331</v>
      </c>
      <c r="P14" s="9" t="str">
        <f>IF(J14&lt;=0,"Paid",IF(I14&gt;0,"Part-paid",IF(K14&gt;0,"Overdue","Open")))</f>
        <v>Open</v>
      </c>
    </row>
    <row r="15" spans="2:16" x14ac:dyDescent="0.25">
      <c r="B15" s="8" t="s">
        <v>530</v>
      </c>
      <c r="C15" s="8" t="s">
        <v>531</v>
      </c>
      <c r="D15" s="8" t="s">
        <v>532</v>
      </c>
      <c r="E15" s="21">
        <v>46231</v>
      </c>
      <c r="F15" s="22">
        <v>30</v>
      </c>
      <c r="G15" s="23">
        <f>E15+F15</f>
        <v>46261</v>
      </c>
      <c r="H15" s="28">
        <v>4300</v>
      </c>
      <c r="I15" s="28">
        <v>0</v>
      </c>
      <c r="J15" s="29">
        <f>H15-I15</f>
        <v>4300</v>
      </c>
      <c r="K15" s="24">
        <f>IF(J15&lt;=0,0,MAX(0,AsOfDate-G15))</f>
        <v>64</v>
      </c>
      <c r="L15" s="9" t="str">
        <f>IF(J15&lt;=0,"Paid",IF(K15=0,"Current",IF(K15&lt;=30,"1-30 days",IF(K15&lt;=60,"31-60 days",IF(K15&lt;=90,"61-90 days","90+ days")))))</f>
        <v>61-90 days</v>
      </c>
      <c r="M15" s="21">
        <v>46296</v>
      </c>
      <c r="N15" s="9" t="str">
        <f>IF(J15&lt;=0,"Closed",IF(K15=0,"Not yet due",IF(K15&lt;=7,"Reminder 1 (friendly)",IF(K15&lt;=21,"Reminder 2 (firm)",IF(K15&lt;=45,"Phone call","Escalate to manager")))))</f>
        <v>Escalate to manager</v>
      </c>
      <c r="O15" s="23">
        <f>IF(J15&lt;=0,"",IF(K15=0,G15,IF(M15="",AsOfDate,MAX(AsOfDate,M15+7))))</f>
        <v>46325</v>
      </c>
      <c r="P15" s="9" t="str">
        <f>IF(J15&lt;=0,"Paid",IF(I15&gt;0,"Part-paid",IF(K15&gt;0,"Overdue","Open")))</f>
        <v>Overdue</v>
      </c>
    </row>
    <row r="16" spans="2:16" x14ac:dyDescent="0.25">
      <c r="B16" s="8" t="s">
        <v>533</v>
      </c>
      <c r="C16" s="8" t="s">
        <v>511</v>
      </c>
      <c r="D16" s="8" t="s">
        <v>512</v>
      </c>
      <c r="E16" s="21">
        <v>46305</v>
      </c>
      <c r="F16" s="22">
        <v>14</v>
      </c>
      <c r="G16" s="23">
        <f>E16+F16</f>
        <v>46319</v>
      </c>
      <c r="H16" s="28">
        <v>1320</v>
      </c>
      <c r="I16" s="28">
        <v>1320</v>
      </c>
      <c r="J16" s="29">
        <f>H16-I16</f>
        <v>0</v>
      </c>
      <c r="K16" s="24">
        <f>IF(J16&lt;=0,0,MAX(0,AsOfDate-G16))</f>
        <v>0</v>
      </c>
      <c r="L16" s="9" t="str">
        <f>IF(J16&lt;=0,"Paid",IF(K16=0,"Current",IF(K16&lt;=30,"1-30 days",IF(K16&lt;=60,"31-60 days",IF(K16&lt;=90,"61-90 days","90+ days")))))</f>
        <v>Paid</v>
      </c>
      <c r="M16" s="21">
        <v>46316</v>
      </c>
      <c r="N16" s="9" t="str">
        <f>IF(J16&lt;=0,"Closed",IF(K16=0,"Not yet due",IF(K16&lt;=7,"Reminder 1 (friendly)",IF(K16&lt;=21,"Reminder 2 (firm)",IF(K16&lt;=45,"Phone call","Escalate to manager")))))</f>
        <v>Closed</v>
      </c>
      <c r="O16" s="23" t="str">
        <f>IF(J16&lt;=0,"",IF(K16=0,G16,IF(M16="",AsOfDate,MAX(AsOfDate,M16+7))))</f>
        <v/>
      </c>
      <c r="P16" s="9" t="str">
        <f>IF(J16&lt;=0,"Paid",IF(I16&gt;0,"Part-paid",IF(K16&gt;0,"Overdue","Open")))</f>
        <v>Paid</v>
      </c>
    </row>
    <row r="17" spans="2:16" x14ac:dyDescent="0.25">
      <c r="B17" s="8" t="s">
        <v>534</v>
      </c>
      <c r="C17" s="8" t="s">
        <v>535</v>
      </c>
      <c r="D17" s="8" t="s">
        <v>536</v>
      </c>
      <c r="E17" s="21">
        <v>46309</v>
      </c>
      <c r="F17" s="22">
        <v>30</v>
      </c>
      <c r="G17" s="23">
        <f>E17+F17</f>
        <v>46339</v>
      </c>
      <c r="H17" s="28">
        <v>6150</v>
      </c>
      <c r="I17" s="28">
        <v>0</v>
      </c>
      <c r="J17" s="29">
        <f>H17-I17</f>
        <v>6150</v>
      </c>
      <c r="K17" s="24">
        <f>IF(J17&lt;=0,0,MAX(0,AsOfDate-G17))</f>
        <v>0</v>
      </c>
      <c r="L17" s="9" t="str">
        <f>IF(J17&lt;=0,"Paid",IF(K17=0,"Current",IF(K17&lt;=30,"1-30 days",IF(K17&lt;=60,"31-60 days",IF(K17&lt;=90,"61-90 days","90+ days")))))</f>
        <v>Current</v>
      </c>
      <c r="M17" s="21"/>
      <c r="N17" s="9" t="str">
        <f>IF(J17&lt;=0,"Closed",IF(K17=0,"Not yet due",IF(K17&lt;=7,"Reminder 1 (friendly)",IF(K17&lt;=21,"Reminder 2 (firm)",IF(K17&lt;=45,"Phone call","Escalate to manager")))))</f>
        <v>Not yet due</v>
      </c>
      <c r="O17" s="23">
        <f>IF(J17&lt;=0,"",IF(K17=0,G17,IF(M17="",AsOfDate,MAX(AsOfDate,M17+7))))</f>
        <v>46339</v>
      </c>
      <c r="P17" s="9" t="str">
        <f>IF(J17&lt;=0,"Paid",IF(I17&gt;0,"Part-paid",IF(K17&gt;0,"Overdue","Open")))</f>
        <v>Open</v>
      </c>
    </row>
    <row r="18" spans="2:16" x14ac:dyDescent="0.25">
      <c r="B18" s="8" t="s">
        <v>537</v>
      </c>
      <c r="C18" s="8" t="s">
        <v>514</v>
      </c>
      <c r="D18" s="8" t="s">
        <v>515</v>
      </c>
      <c r="E18" s="21">
        <v>46310</v>
      </c>
      <c r="F18" s="22">
        <v>14</v>
      </c>
      <c r="G18" s="23">
        <f>E18+F18</f>
        <v>46324</v>
      </c>
      <c r="H18" s="28">
        <v>3975</v>
      </c>
      <c r="I18" s="28">
        <v>0</v>
      </c>
      <c r="J18" s="29">
        <f>H18-I18</f>
        <v>3975</v>
      </c>
      <c r="K18" s="24">
        <f>IF(J18&lt;=0,0,MAX(0,AsOfDate-G18))</f>
        <v>1</v>
      </c>
      <c r="L18" s="9" t="str">
        <f>IF(J18&lt;=0,"Paid",IF(K18=0,"Current",IF(K18&lt;=30,"1-30 days",IF(K18&lt;=60,"31-60 days",IF(K18&lt;=90,"61-90 days","90+ days")))))</f>
        <v>1-30 days</v>
      </c>
      <c r="M18" s="21">
        <v>46325</v>
      </c>
      <c r="N18" s="9" t="str">
        <f>IF(J18&lt;=0,"Closed",IF(K18=0,"Not yet due",IF(K18&lt;=7,"Reminder 1 (friendly)",IF(K18&lt;=21,"Reminder 2 (firm)",IF(K18&lt;=45,"Phone call","Escalate to manager")))))</f>
        <v>Reminder 1 (friendly)</v>
      </c>
      <c r="O18" s="23">
        <f>IF(J18&lt;=0,"",IF(K18=0,G18,IF(M18="",AsOfDate,MAX(AsOfDate,M18+7))))</f>
        <v>46332</v>
      </c>
      <c r="P18" s="9" t="str">
        <f>IF(J18&lt;=0,"Paid",IF(I18&gt;0,"Part-paid",IF(K18&gt;0,"Overdue","Open")))</f>
        <v>Overdue</v>
      </c>
    </row>
    <row r="19" spans="2:16" x14ac:dyDescent="0.25">
      <c r="B19" s="8" t="s">
        <v>538</v>
      </c>
      <c r="C19" s="8" t="s">
        <v>517</v>
      </c>
      <c r="D19" s="8" t="s">
        <v>518</v>
      </c>
      <c r="E19" s="21">
        <v>46315</v>
      </c>
      <c r="F19" s="22">
        <v>14</v>
      </c>
      <c r="G19" s="23">
        <f>E19+F19</f>
        <v>46329</v>
      </c>
      <c r="H19" s="28">
        <v>860</v>
      </c>
      <c r="I19" s="28">
        <v>0</v>
      </c>
      <c r="J19" s="29">
        <f>H19-I19</f>
        <v>860</v>
      </c>
      <c r="K19" s="24">
        <f>IF(J19&lt;=0,0,MAX(0,AsOfDate-G19))</f>
        <v>0</v>
      </c>
      <c r="L19" s="9" t="str">
        <f>IF(J19&lt;=0,"Paid",IF(K19=0,"Current",IF(K19&lt;=30,"1-30 days",IF(K19&lt;=60,"31-60 days",IF(K19&lt;=90,"61-90 days","90+ days")))))</f>
        <v>Current</v>
      </c>
      <c r="M19" s="21"/>
      <c r="N19" s="9" t="str">
        <f>IF(J19&lt;=0,"Closed",IF(K19=0,"Not yet due",IF(K19&lt;=7,"Reminder 1 (friendly)",IF(K19&lt;=21,"Reminder 2 (firm)",IF(K19&lt;=45,"Phone call","Escalate to manager")))))</f>
        <v>Not yet due</v>
      </c>
      <c r="O19" s="23">
        <f>IF(J19&lt;=0,"",IF(K19=0,G19,IF(M19="",AsOfDate,MAX(AsOfDate,M19+7))))</f>
        <v>46329</v>
      </c>
      <c r="P19" s="9" t="str">
        <f>IF(J19&lt;=0,"Paid",IF(I19&gt;0,"Part-paid",IF(K19&gt;0,"Overdue","Open")))</f>
        <v>Open</v>
      </c>
    </row>
    <row r="20" spans="2:16" x14ac:dyDescent="0.25">
      <c r="B20" s="8" t="s">
        <v>539</v>
      </c>
      <c r="C20" s="8" t="s">
        <v>520</v>
      </c>
      <c r="D20" s="8" t="s">
        <v>521</v>
      </c>
      <c r="E20" s="21">
        <v>46317</v>
      </c>
      <c r="F20" s="22">
        <v>30</v>
      </c>
      <c r="G20" s="23">
        <f>E20+F20</f>
        <v>46347</v>
      </c>
      <c r="H20" s="28">
        <v>7200</v>
      </c>
      <c r="I20" s="28">
        <v>0</v>
      </c>
      <c r="J20" s="29">
        <f>H20-I20</f>
        <v>7200</v>
      </c>
      <c r="K20" s="24">
        <f>IF(J20&lt;=0,0,MAX(0,AsOfDate-G20))</f>
        <v>0</v>
      </c>
      <c r="L20" s="9" t="str">
        <f>IF(J20&lt;=0,"Paid",IF(K20=0,"Current",IF(K20&lt;=30,"1-30 days",IF(K20&lt;=60,"31-60 days",IF(K20&lt;=90,"61-90 days","90+ days")))))</f>
        <v>Current</v>
      </c>
      <c r="M20" s="21"/>
      <c r="N20" s="9" t="str">
        <f>IF(J20&lt;=0,"Closed",IF(K20=0,"Not yet due",IF(K20&lt;=7,"Reminder 1 (friendly)",IF(K20&lt;=21,"Reminder 2 (firm)",IF(K20&lt;=45,"Phone call","Escalate to manager")))))</f>
        <v>Not yet due</v>
      </c>
      <c r="O20" s="23">
        <f>IF(J20&lt;=0,"",IF(K20=0,G20,IF(M20="",AsOfDate,MAX(AsOfDate,M20+7))))</f>
        <v>46347</v>
      </c>
      <c r="P20" s="9" t="str">
        <f>IF(J20&lt;=0,"Paid",IF(I20&gt;0,"Part-paid",IF(K20&gt;0,"Overdue","Open")))</f>
        <v>Open</v>
      </c>
    </row>
    <row r="23" spans="2:6" x14ac:dyDescent="0.25">
      <c r="B23" s="4" t="s">
        <v>540</v>
      </c>
      <c r="C23" s="4"/>
      <c r="D23" s="4"/>
      <c r="E23" s="4"/>
      <c r="F23" s="4"/>
    </row>
    <row r="24" ht="20" customHeight="1" spans="2:5" x14ac:dyDescent="0.25">
      <c r="B24" s="10" t="s">
        <v>541</v>
      </c>
      <c r="C24" s="10" t="s">
        <v>542</v>
      </c>
      <c r="D24" s="10" t="s">
        <v>543</v>
      </c>
      <c r="E24" s="10" t="s">
        <v>544</v>
      </c>
    </row>
    <row r="25" spans="2:5" x14ac:dyDescent="0.25">
      <c r="B25" s="8" t="s">
        <v>545</v>
      </c>
      <c r="C25" s="25">
        <f>COUNTIF($L$5:$L$20,B25)</f>
        <v>4</v>
      </c>
      <c r="D25" s="29">
        <f>SUMIFS($J$5:$J$20,$L$5:$L$20,B25)</f>
        <v>20010</v>
      </c>
      <c r="E25" s="30">
        <f>IFERROR(D25/SUM($J$5:$J$20),0)</f>
        <v>0.456536618754278</v>
      </c>
    </row>
    <row r="26" spans="2:5" x14ac:dyDescent="0.25">
      <c r="B26" s="8" t="s">
        <v>546</v>
      </c>
      <c r="C26" s="25">
        <f>COUNTIF($L$5:$L$20,B26)</f>
        <v>6</v>
      </c>
      <c r="D26" s="29">
        <f>SUMIFS($J$5:$J$20,$L$5:$L$20,B26)</f>
        <v>16050</v>
      </c>
      <c r="E26" s="30">
        <f>IFERROR(D26/SUM($J$5:$J$20),0)</f>
        <v>0.366187542778919</v>
      </c>
    </row>
    <row r="27" spans="2:5" x14ac:dyDescent="0.25">
      <c r="B27" s="8" t="s">
        <v>547</v>
      </c>
      <c r="C27" s="25">
        <f>COUNTIF($L$5:$L$20,B27)</f>
        <v>2</v>
      </c>
      <c r="D27" s="29">
        <f>SUMIFS($J$5:$J$20,$L$5:$L$20,B27)</f>
        <v>3470</v>
      </c>
      <c r="E27" s="30">
        <f>IFERROR(D27/SUM($J$5:$J$20),0)</f>
        <v>0.0791695185945699</v>
      </c>
    </row>
    <row r="28" spans="2:5" x14ac:dyDescent="0.25">
      <c r="B28" s="8" t="s">
        <v>548</v>
      </c>
      <c r="C28" s="25">
        <f>COUNTIF($L$5:$L$20,B28)</f>
        <v>1</v>
      </c>
      <c r="D28" s="29">
        <f>SUMIFS($J$5:$J$20,$L$5:$L$20,B28)</f>
        <v>4300</v>
      </c>
      <c r="E28" s="30">
        <f>IFERROR(D28/SUM($J$5:$J$20),0)</f>
        <v>0.0981063198722336</v>
      </c>
    </row>
    <row r="29" spans="2:5" x14ac:dyDescent="0.25">
      <c r="B29" s="8" t="s">
        <v>549</v>
      </c>
      <c r="C29" s="25">
        <f>COUNTIF($L$5:$L$20,B29)</f>
        <v>0</v>
      </c>
      <c r="D29" s="29">
        <f>SUMIFS($J$5:$J$20,$L$5:$L$20,B29)</f>
        <v>0</v>
      </c>
      <c r="E29" s="30">
        <f>IFERROR(D29/SUM($J$5:$J$20),0)</f>
        <v>0</v>
      </c>
    </row>
    <row r="30" spans="2:5" x14ac:dyDescent="0.25">
      <c r="B30" s="31" t="s">
        <v>69</v>
      </c>
      <c r="C30" s="32">
        <f>SUM(C25:C29)</f>
        <v>13</v>
      </c>
      <c r="D30" s="33">
        <f>SUM(D25:D29)</f>
        <v>43830</v>
      </c>
      <c r="E30" s="34">
        <f>SUM(E25:E29)</f>
        <v>1</v>
      </c>
    </row>
  </sheetData>
  <autoFilter ref="B4:P20"/>
  <mergeCells count="2">
    <mergeCell ref="B2:O2"/>
    <mergeCell ref="B23:F23"/>
  </mergeCells>
  <conditionalFormatting sqref="P5:P20">
    <cfRule type="expression" dxfId="6" priority="1">
      <formula>P5="Overdue"</formula>
    </cfRule>
  </conditionalFormatting>
  <conditionalFormatting sqref="P5:P20">
    <cfRule type="expression" dxfId="7" priority="2">
      <formula>P5="Part-paid"</formula>
    </cfRule>
  </conditionalFormatting>
  <conditionalFormatting sqref="P5:P20">
    <cfRule type="expression" dxfId="8" priority="3">
      <formula>P5="Paid"</formula>
    </cfRule>
  </conditionalFormatting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O30"/>
  <sheetViews>
    <sheetView workbookViewId="0" showGridLines="0">
      <pane xSplit="3" ySplit="4" topLeftCell="D5" activePane="bottomRight" state="frozen"/>
      <selection pane="bottomRight"/>
    </sheetView>
  </sheetViews>
  <sheetFormatPr defaultRowHeight="16" outlineLevelRow="0" outlineLevelCol="0" x14ac:dyDescent="55" customHeight="1"/>
  <cols>
    <col min="1" max="1" width="2" customWidth="1"/>
    <col min="3" max="3" width="24" customWidth="1"/>
    <col min="4" max="4" width="16" customWidth="1"/>
    <col min="5" max="5" width="15" customWidth="1"/>
    <col min="6" max="6" width="22" customWidth="1"/>
    <col min="7" max="7" width="14" customWidth="1"/>
    <col min="8" max="8" width="12" customWidth="1"/>
    <col min="9" max="9" width="10" customWidth="1"/>
    <col min="10" max="11" width="12" customWidth="1"/>
    <col min="12" max="12" width="26" customWidth="1"/>
    <col min="13" max="13" width="12" customWidth="1"/>
    <col min="14" max="14" width="10" customWidth="1"/>
    <col min="15" max="15" width="16" customWidth="1"/>
  </cols>
  <sheetData>
    <row r="1" ht="32" customHeight="1" spans="2:2" x14ac:dyDescent="0.25">
      <c r="B1" s="1" t="s">
        <v>41</v>
      </c>
    </row>
    <row r="2" ht="18" customHeight="1" spans="2:15" x14ac:dyDescent="0.25">
      <c r="B2" s="2" t="s">
        <v>550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0" customHeight="1" spans="2:15" x14ac:dyDescent="0.25">
      <c r="B4" s="10" t="s">
        <v>551</v>
      </c>
      <c r="C4" s="10" t="s">
        <v>552</v>
      </c>
      <c r="D4" s="10" t="s">
        <v>553</v>
      </c>
      <c r="E4" s="10" t="s">
        <v>554</v>
      </c>
      <c r="F4" s="10" t="s">
        <v>555</v>
      </c>
      <c r="G4" s="10" t="s">
        <v>556</v>
      </c>
      <c r="H4" s="10" t="s">
        <v>557</v>
      </c>
      <c r="I4" s="10" t="s">
        <v>558</v>
      </c>
      <c r="J4" s="10" t="s">
        <v>559</v>
      </c>
      <c r="K4" s="10" t="s">
        <v>501</v>
      </c>
      <c r="L4" s="10" t="s">
        <v>560</v>
      </c>
      <c r="M4" s="10" t="s">
        <v>561</v>
      </c>
      <c r="N4" s="10" t="s">
        <v>562</v>
      </c>
      <c r="O4" s="10" t="s">
        <v>563</v>
      </c>
    </row>
    <row r="5" spans="2:15" x14ac:dyDescent="0.25">
      <c r="B5" s="8" t="s">
        <v>564</v>
      </c>
      <c r="C5" s="8" t="s">
        <v>535</v>
      </c>
      <c r="D5" s="8" t="s">
        <v>565</v>
      </c>
      <c r="E5" s="8" t="s">
        <v>566</v>
      </c>
      <c r="F5" s="8" t="s">
        <v>567</v>
      </c>
      <c r="G5" s="8" t="s">
        <v>568</v>
      </c>
      <c r="H5" s="35">
        <v>3200</v>
      </c>
      <c r="I5" s="30">
        <f>IFERROR(INDEX(Lists!$F$2:$F$8,MATCH(G5,Lists!$E$2:$E$8,0)),0)</f>
        <v>1</v>
      </c>
      <c r="J5" s="36">
        <f>H5*I5</f>
        <v>3200</v>
      </c>
      <c r="K5" s="21">
        <v>46309</v>
      </c>
      <c r="L5" s="8" t="s">
        <v>569</v>
      </c>
      <c r="M5" s="21">
        <v>46329</v>
      </c>
      <c r="N5" s="24">
        <f>AsOfDate-K5</f>
        <v>16</v>
      </c>
      <c r="O5" s="9" t="str">
        <f>IF(OR(G5="Won",G5="Lost"),"Closed",IF(M5&lt;AsOfDate,"Overdue",IF(M5=AsOfDate,"Due today",IF(N5&gt;14,"Stale: check in","Scheduled"))))</f>
        <v>Closed</v>
      </c>
    </row>
    <row r="6" spans="2:15" x14ac:dyDescent="0.25">
      <c r="B6" s="8" t="s">
        <v>570</v>
      </c>
      <c r="C6" s="8" t="s">
        <v>571</v>
      </c>
      <c r="D6" s="8" t="s">
        <v>572</v>
      </c>
      <c r="E6" s="8" t="s">
        <v>573</v>
      </c>
      <c r="F6" s="8" t="s">
        <v>574</v>
      </c>
      <c r="G6" s="8" t="s">
        <v>575</v>
      </c>
      <c r="H6" s="35">
        <v>1800</v>
      </c>
      <c r="I6" s="30">
        <f>IFERROR(INDEX(Lists!$F$2:$F$8,MATCH(G6,Lists!$E$2:$E$8,0)),0)</f>
        <v>0.6</v>
      </c>
      <c r="J6" s="36">
        <f>H6*I6</f>
        <v>1080</v>
      </c>
      <c r="K6" s="21">
        <v>46318</v>
      </c>
      <c r="L6" s="8" t="s">
        <v>576</v>
      </c>
      <c r="M6" s="21">
        <v>46325</v>
      </c>
      <c r="N6" s="24">
        <f>AsOfDate-K6</f>
        <v>7</v>
      </c>
      <c r="O6" s="9" t="str">
        <f>IF(OR(G6="Won",G6="Lost"),"Closed",IF(M6&lt;AsOfDate,"Overdue",IF(M6=AsOfDate,"Due today",IF(N6&gt;14,"Stale: check in","Scheduled"))))</f>
        <v>Due today</v>
      </c>
    </row>
    <row r="7" spans="2:15" x14ac:dyDescent="0.25">
      <c r="B7" s="8" t="s">
        <v>577</v>
      </c>
      <c r="C7" s="8" t="s">
        <v>578</v>
      </c>
      <c r="D7" s="8" t="s">
        <v>579</v>
      </c>
      <c r="E7" s="8" t="s">
        <v>580</v>
      </c>
      <c r="F7" s="8" t="s">
        <v>581</v>
      </c>
      <c r="G7" s="8" t="s">
        <v>582</v>
      </c>
      <c r="H7" s="35">
        <v>1200</v>
      </c>
      <c r="I7" s="30">
        <f>IFERROR(INDEX(Lists!$F$2:$F$8,MATCH(G7,Lists!$E$2:$E$8,0)),0)</f>
        <v>0.4</v>
      </c>
      <c r="J7" s="36">
        <f>H7*I7</f>
        <v>480</v>
      </c>
      <c r="K7" s="21">
        <v>46322</v>
      </c>
      <c r="L7" s="8" t="s">
        <v>583</v>
      </c>
      <c r="M7" s="21">
        <v>46328</v>
      </c>
      <c r="N7" s="24">
        <f>AsOfDate-K7</f>
        <v>3</v>
      </c>
      <c r="O7" s="9" t="str">
        <f>IF(OR(G7="Won",G7="Lost"),"Closed",IF(M7&lt;AsOfDate,"Overdue",IF(M7=AsOfDate,"Due today",IF(N7&gt;14,"Stale: check in","Scheduled"))))</f>
        <v>Scheduled</v>
      </c>
    </row>
    <row r="8" spans="2:15" x14ac:dyDescent="0.25">
      <c r="B8" s="8" t="s">
        <v>584</v>
      </c>
      <c r="C8" s="8" t="s">
        <v>585</v>
      </c>
      <c r="D8" s="8" t="s">
        <v>586</v>
      </c>
      <c r="E8" s="8" t="s">
        <v>587</v>
      </c>
      <c r="F8" s="8" t="s">
        <v>588</v>
      </c>
      <c r="G8" s="8" t="s">
        <v>589</v>
      </c>
      <c r="H8" s="35">
        <v>4500</v>
      </c>
      <c r="I8" s="30">
        <f>IFERROR(INDEX(Lists!$F$2:$F$8,MATCH(G8,Lists!$E$2:$E$8,0)),0)</f>
        <v>0.8</v>
      </c>
      <c r="J8" s="36">
        <f>H8*I8</f>
        <v>3600</v>
      </c>
      <c r="K8" s="21">
        <v>46321</v>
      </c>
      <c r="L8" s="8" t="s">
        <v>590</v>
      </c>
      <c r="M8" s="21">
        <v>46326</v>
      </c>
      <c r="N8" s="24">
        <f>AsOfDate-K8</f>
        <v>4</v>
      </c>
      <c r="O8" s="9" t="str">
        <f>IF(OR(G8="Won",G8="Lost"),"Closed",IF(M8&lt;AsOfDate,"Overdue",IF(M8=AsOfDate,"Due today",IF(N8&gt;14,"Stale: check in","Scheduled"))))</f>
        <v>Scheduled</v>
      </c>
    </row>
    <row r="9" spans="2:15" x14ac:dyDescent="0.25">
      <c r="B9" s="8" t="s">
        <v>591</v>
      </c>
      <c r="C9" s="8" t="s">
        <v>592</v>
      </c>
      <c r="D9" s="8" t="s">
        <v>129</v>
      </c>
      <c r="E9" s="8" t="s">
        <v>566</v>
      </c>
      <c r="F9" s="8" t="s">
        <v>593</v>
      </c>
      <c r="G9" s="8" t="s">
        <v>594</v>
      </c>
      <c r="H9" s="35">
        <v>900</v>
      </c>
      <c r="I9" s="30">
        <f>IFERROR(INDEX(Lists!$F$2:$F$8,MATCH(G9,Lists!$E$2:$E$8,0)),0)</f>
        <v>0.2</v>
      </c>
      <c r="J9" s="36">
        <f>H9*I9</f>
        <v>180</v>
      </c>
      <c r="K9" s="21">
        <v>46303</v>
      </c>
      <c r="L9" s="8" t="s">
        <v>595</v>
      </c>
      <c r="M9" s="21">
        <v>46317</v>
      </c>
      <c r="N9" s="24">
        <f>AsOfDate-K9</f>
        <v>22</v>
      </c>
      <c r="O9" s="9" t="str">
        <f>IF(OR(G9="Won",G9="Lost"),"Closed",IF(M9&lt;AsOfDate,"Overdue",IF(M9=AsOfDate,"Due today",IF(N9&gt;14,"Stale: check in","Scheduled"))))</f>
        <v>Overdue</v>
      </c>
    </row>
    <row r="10" spans="2:15" x14ac:dyDescent="0.25">
      <c r="B10" s="8" t="s">
        <v>596</v>
      </c>
      <c r="C10" s="8" t="s">
        <v>597</v>
      </c>
      <c r="D10" s="8" t="s">
        <v>598</v>
      </c>
      <c r="E10" s="8" t="s">
        <v>573</v>
      </c>
      <c r="F10" s="8" t="s">
        <v>599</v>
      </c>
      <c r="G10" s="8" t="s">
        <v>600</v>
      </c>
      <c r="H10" s="35">
        <v>1100</v>
      </c>
      <c r="I10" s="30">
        <f>IFERROR(INDEX(Lists!$F$2:$F$8,MATCH(G10,Lists!$E$2:$E$8,0)),0)</f>
        <v>0.1</v>
      </c>
      <c r="J10" s="36">
        <f>H10*I10</f>
        <v>110</v>
      </c>
      <c r="K10" s="21">
        <v>46324</v>
      </c>
      <c r="L10" s="8" t="s">
        <v>601</v>
      </c>
      <c r="M10" s="21">
        <v>46326</v>
      </c>
      <c r="N10" s="24">
        <f>AsOfDate-K10</f>
        <v>1</v>
      </c>
      <c r="O10" s="9" t="str">
        <f>IF(OR(G10="Won",G10="Lost"),"Closed",IF(M10&lt;AsOfDate,"Overdue",IF(M10=AsOfDate,"Due today",IF(N10&gt;14,"Stale: check in","Scheduled"))))</f>
        <v>Scheduled</v>
      </c>
    </row>
    <row r="11" spans="2:15" x14ac:dyDescent="0.25">
      <c r="B11" s="8" t="s">
        <v>602</v>
      </c>
      <c r="C11" s="8" t="s">
        <v>603</v>
      </c>
      <c r="D11" s="8" t="s">
        <v>604</v>
      </c>
      <c r="E11" s="8" t="s">
        <v>605</v>
      </c>
      <c r="F11" s="8" t="s">
        <v>606</v>
      </c>
      <c r="G11" s="8" t="s">
        <v>575</v>
      </c>
      <c r="H11" s="35">
        <v>6000</v>
      </c>
      <c r="I11" s="30">
        <f>IFERROR(INDEX(Lists!$F$2:$F$8,MATCH(G11,Lists!$E$2:$E$8,0)),0)</f>
        <v>0.6</v>
      </c>
      <c r="J11" s="36">
        <f>H11*I11</f>
        <v>3600</v>
      </c>
      <c r="K11" s="21">
        <v>46304</v>
      </c>
      <c r="L11" s="8" t="s">
        <v>607</v>
      </c>
      <c r="M11" s="21">
        <v>46311</v>
      </c>
      <c r="N11" s="24">
        <f>AsOfDate-K11</f>
        <v>21</v>
      </c>
      <c r="O11" s="9" t="str">
        <f>IF(OR(G11="Won",G11="Lost"),"Closed",IF(M11&lt;AsOfDate,"Overdue",IF(M11=AsOfDate,"Due today",IF(N11&gt;14,"Stale: check in","Scheduled"))))</f>
        <v>Overdue</v>
      </c>
    </row>
    <row r="12" spans="2:15" x14ac:dyDescent="0.25">
      <c r="B12" s="8" t="s">
        <v>608</v>
      </c>
      <c r="C12" s="8" t="s">
        <v>609</v>
      </c>
      <c r="D12" s="8" t="s">
        <v>610</v>
      </c>
      <c r="E12" s="8" t="s">
        <v>587</v>
      </c>
      <c r="F12" s="8" t="s">
        <v>611</v>
      </c>
      <c r="G12" s="8" t="s">
        <v>582</v>
      </c>
      <c r="H12" s="35">
        <v>1500</v>
      </c>
      <c r="I12" s="30">
        <f>IFERROR(INDEX(Lists!$F$2:$F$8,MATCH(G12,Lists!$E$2:$E$8,0)),0)</f>
        <v>0.4</v>
      </c>
      <c r="J12" s="36">
        <f>H12*I12</f>
        <v>600</v>
      </c>
      <c r="K12" s="21">
        <v>46315</v>
      </c>
      <c r="L12" s="8" t="s">
        <v>612</v>
      </c>
      <c r="M12" s="21">
        <v>46330</v>
      </c>
      <c r="N12" s="24">
        <f>AsOfDate-K12</f>
        <v>10</v>
      </c>
      <c r="O12" s="9" t="str">
        <f>IF(OR(G12="Won",G12="Lost"),"Closed",IF(M12&lt;AsOfDate,"Overdue",IF(M12=AsOfDate,"Due today",IF(N12&gt;14,"Stale: check in","Scheduled"))))</f>
        <v>Scheduled</v>
      </c>
    </row>
    <row r="13" spans="2:15" x14ac:dyDescent="0.25">
      <c r="B13" s="8" t="s">
        <v>613</v>
      </c>
      <c r="C13" s="8" t="s">
        <v>614</v>
      </c>
      <c r="D13" s="8" t="s">
        <v>615</v>
      </c>
      <c r="E13" s="8" t="s">
        <v>566</v>
      </c>
      <c r="F13" s="8" t="s">
        <v>616</v>
      </c>
      <c r="G13" s="8" t="s">
        <v>617</v>
      </c>
      <c r="H13" s="35">
        <v>2800</v>
      </c>
      <c r="I13" s="30">
        <f>IFERROR(INDEX(Lists!$F$2:$F$8,MATCH(G13,Lists!$E$2:$E$8,0)),0)</f>
        <v>0</v>
      </c>
      <c r="J13" s="36">
        <f>H13*I13</f>
        <v>0</v>
      </c>
      <c r="K13" s="21">
        <v>46295</v>
      </c>
      <c r="L13" s="8" t="s">
        <v>618</v>
      </c>
      <c r="M13" s="21"/>
      <c r="N13" s="24">
        <f>AsOfDate-K13</f>
        <v>30</v>
      </c>
      <c r="O13" s="9" t="str">
        <f>IF(OR(G13="Won",G13="Lost"),"Closed",IF(M13&lt;AsOfDate,"Overdue",IF(M13=AsOfDate,"Due today",IF(N13&gt;14,"Stale: check in","Scheduled"))))</f>
        <v>Closed</v>
      </c>
    </row>
    <row r="14" spans="2:15" x14ac:dyDescent="0.25">
      <c r="B14" s="8" t="s">
        <v>619</v>
      </c>
      <c r="C14" s="8" t="s">
        <v>620</v>
      </c>
      <c r="D14" s="8" t="s">
        <v>129</v>
      </c>
      <c r="E14" s="8" t="s">
        <v>580</v>
      </c>
      <c r="F14" s="8" t="s">
        <v>611</v>
      </c>
      <c r="G14" s="8" t="s">
        <v>594</v>
      </c>
      <c r="H14" s="35">
        <v>700</v>
      </c>
      <c r="I14" s="30">
        <f>IFERROR(INDEX(Lists!$F$2:$F$8,MATCH(G14,Lists!$E$2:$E$8,0)),0)</f>
        <v>0.2</v>
      </c>
      <c r="J14" s="36">
        <f>H14*I14</f>
        <v>140</v>
      </c>
      <c r="K14" s="21">
        <v>46296</v>
      </c>
      <c r="L14" s="8" t="s">
        <v>621</v>
      </c>
      <c r="M14" s="21">
        <v>46310</v>
      </c>
      <c r="N14" s="24">
        <f>AsOfDate-K14</f>
        <v>29</v>
      </c>
      <c r="O14" s="9" t="str">
        <f>IF(OR(G14="Won",G14="Lost"),"Closed",IF(M14&lt;AsOfDate,"Overdue",IF(M14=AsOfDate,"Due today",IF(N14&gt;14,"Stale: check in","Scheduled"))))</f>
        <v>Overdue</v>
      </c>
    </row>
    <row r="15" spans="2:15" x14ac:dyDescent="0.25">
      <c r="B15" s="8" t="s">
        <v>622</v>
      </c>
      <c r="C15" s="8" t="s">
        <v>623</v>
      </c>
      <c r="D15" s="8" t="s">
        <v>572</v>
      </c>
      <c r="E15" s="8" t="s">
        <v>566</v>
      </c>
      <c r="F15" s="8" t="s">
        <v>624</v>
      </c>
      <c r="G15" s="8" t="s">
        <v>589</v>
      </c>
      <c r="H15" s="35">
        <v>2600</v>
      </c>
      <c r="I15" s="30">
        <f>IFERROR(INDEX(Lists!$F$2:$F$8,MATCH(G15,Lists!$E$2:$E$8,0)),0)</f>
        <v>0.8</v>
      </c>
      <c r="J15" s="36">
        <f>H15*I15</f>
        <v>2080</v>
      </c>
      <c r="K15" s="21">
        <v>46323</v>
      </c>
      <c r="L15" s="8" t="s">
        <v>625</v>
      </c>
      <c r="M15" s="21">
        <v>46330</v>
      </c>
      <c r="N15" s="24">
        <f>AsOfDate-K15</f>
        <v>2</v>
      </c>
      <c r="O15" s="9" t="str">
        <f>IF(OR(G15="Won",G15="Lost"),"Closed",IF(M15&lt;AsOfDate,"Overdue",IF(M15=AsOfDate,"Due today",IF(N15&gt;14,"Stale: check in","Scheduled"))))</f>
        <v>Scheduled</v>
      </c>
    </row>
    <row r="16" spans="2:15" x14ac:dyDescent="0.25">
      <c r="B16" s="8" t="s">
        <v>626</v>
      </c>
      <c r="C16" s="8" t="s">
        <v>627</v>
      </c>
      <c r="D16" s="8" t="s">
        <v>628</v>
      </c>
      <c r="E16" s="8" t="s">
        <v>573</v>
      </c>
      <c r="F16" s="8" t="s">
        <v>629</v>
      </c>
      <c r="G16" s="8" t="s">
        <v>600</v>
      </c>
      <c r="H16" s="35">
        <v>800</v>
      </c>
      <c r="I16" s="30">
        <f>IFERROR(INDEX(Lists!$F$2:$F$8,MATCH(G16,Lists!$E$2:$E$8,0)),0)</f>
        <v>0.1</v>
      </c>
      <c r="J16" s="36">
        <f>H16*I16</f>
        <v>80</v>
      </c>
      <c r="K16" s="21">
        <v>46325</v>
      </c>
      <c r="L16" s="8" t="s">
        <v>630</v>
      </c>
      <c r="M16" s="21">
        <v>46328</v>
      </c>
      <c r="N16" s="24">
        <f>AsOfDate-K16</f>
        <v>0</v>
      </c>
      <c r="O16" s="9" t="str">
        <f>IF(OR(G16="Won",G16="Lost"),"Closed",IF(M16&lt;AsOfDate,"Overdue",IF(M16=AsOfDate,"Due today",IF(N16&gt;14,"Stale: check in","Scheduled"))))</f>
        <v>Scheduled</v>
      </c>
    </row>
    <row r="17" spans="2:15" x14ac:dyDescent="0.25">
      <c r="B17" s="8" t="s">
        <v>631</v>
      </c>
      <c r="C17" s="8" t="s">
        <v>632</v>
      </c>
      <c r="D17" s="8" t="s">
        <v>633</v>
      </c>
      <c r="E17" s="8" t="s">
        <v>587</v>
      </c>
      <c r="F17" s="8" t="s">
        <v>634</v>
      </c>
      <c r="G17" s="8" t="s">
        <v>568</v>
      </c>
      <c r="H17" s="35">
        <v>5200</v>
      </c>
      <c r="I17" s="30">
        <f>IFERROR(INDEX(Lists!$F$2:$F$8,MATCH(G17,Lists!$E$2:$E$8,0)),0)</f>
        <v>1</v>
      </c>
      <c r="J17" s="36">
        <f>H17*I17</f>
        <v>5200</v>
      </c>
      <c r="K17" s="21">
        <v>46314</v>
      </c>
      <c r="L17" s="8" t="s">
        <v>316</v>
      </c>
      <c r="M17" s="21">
        <v>46331</v>
      </c>
      <c r="N17" s="24">
        <f>AsOfDate-K17</f>
        <v>11</v>
      </c>
      <c r="O17" s="9" t="str">
        <f>IF(OR(G17="Won",G17="Lost"),"Closed",IF(M17&lt;AsOfDate,"Overdue",IF(M17=AsOfDate,"Due today",IF(N17&gt;14,"Stale: check in","Scheduled"))))</f>
        <v>Closed</v>
      </c>
    </row>
    <row r="18" spans="2:15" x14ac:dyDescent="0.25">
      <c r="B18" s="8" t="s">
        <v>635</v>
      </c>
      <c r="C18" s="8" t="s">
        <v>636</v>
      </c>
      <c r="D18" s="8" t="s">
        <v>129</v>
      </c>
      <c r="E18" s="8" t="s">
        <v>605</v>
      </c>
      <c r="F18" s="8" t="s">
        <v>637</v>
      </c>
      <c r="G18" s="8" t="s">
        <v>582</v>
      </c>
      <c r="H18" s="35">
        <v>950</v>
      </c>
      <c r="I18" s="30">
        <f>IFERROR(INDEX(Lists!$F$2:$F$8,MATCH(G18,Lists!$E$2:$E$8,0)),0)</f>
        <v>0.4</v>
      </c>
      <c r="J18" s="36">
        <f>H18*I18</f>
        <v>380</v>
      </c>
      <c r="K18" s="21">
        <v>46307</v>
      </c>
      <c r="L18" s="8" t="s">
        <v>638</v>
      </c>
      <c r="M18" s="21">
        <v>46314</v>
      </c>
      <c r="N18" s="24">
        <f>AsOfDate-K18</f>
        <v>18</v>
      </c>
      <c r="O18" s="9" t="str">
        <f>IF(OR(G18="Won",G18="Lost"),"Closed",IF(M18&lt;AsOfDate,"Overdue",IF(M18=AsOfDate,"Due today",IF(N18&gt;14,"Stale: check in","Scheduled"))))</f>
        <v>Overdue</v>
      </c>
    </row>
    <row r="21" spans="2:6" x14ac:dyDescent="0.25">
      <c r="B21" s="4" t="s">
        <v>639</v>
      </c>
      <c r="C21" s="4"/>
      <c r="D21" s="4"/>
      <c r="E21" s="4"/>
      <c r="F21" s="4"/>
    </row>
    <row r="22" ht="20" customHeight="1" spans="2:5" x14ac:dyDescent="0.25">
      <c r="B22" s="10" t="s">
        <v>556</v>
      </c>
      <c r="C22" s="10" t="s">
        <v>640</v>
      </c>
      <c r="D22" s="10" t="s">
        <v>641</v>
      </c>
      <c r="E22" s="10" t="s">
        <v>642</v>
      </c>
    </row>
    <row r="23" spans="2:5" x14ac:dyDescent="0.25">
      <c r="B23" s="8" t="s">
        <v>600</v>
      </c>
      <c r="C23" s="25">
        <f>COUNTIF($G$5:$G$18,B23)</f>
        <v>2</v>
      </c>
      <c r="D23" s="36">
        <f>SUMIFS($H$5:$H$18,$G$5:$G$18,B23)</f>
        <v>1900</v>
      </c>
      <c r="E23" s="36">
        <f>SUMIFS($J$5:$J$18,$G$5:$G$18,B23)</f>
        <v>190</v>
      </c>
    </row>
    <row r="24" spans="2:5" x14ac:dyDescent="0.25">
      <c r="B24" s="8" t="s">
        <v>594</v>
      </c>
      <c r="C24" s="25">
        <f>COUNTIF($G$5:$G$18,B24)</f>
        <v>2</v>
      </c>
      <c r="D24" s="36">
        <f>SUMIFS($H$5:$H$18,$G$5:$G$18,B24)</f>
        <v>1600</v>
      </c>
      <c r="E24" s="36">
        <f>SUMIFS($J$5:$J$18,$G$5:$G$18,B24)</f>
        <v>320</v>
      </c>
    </row>
    <row r="25" spans="2:5" x14ac:dyDescent="0.25">
      <c r="B25" s="8" t="s">
        <v>582</v>
      </c>
      <c r="C25" s="25">
        <f>COUNTIF($G$5:$G$18,B25)</f>
        <v>3</v>
      </c>
      <c r="D25" s="36">
        <f>SUMIFS($H$5:$H$18,$G$5:$G$18,B25)</f>
        <v>3650</v>
      </c>
      <c r="E25" s="36">
        <f>SUMIFS($J$5:$J$18,$G$5:$G$18,B25)</f>
        <v>1460</v>
      </c>
    </row>
    <row r="26" spans="2:5" x14ac:dyDescent="0.25">
      <c r="B26" s="8" t="s">
        <v>575</v>
      </c>
      <c r="C26" s="25">
        <f>COUNTIF($G$5:$G$18,B26)</f>
        <v>2</v>
      </c>
      <c r="D26" s="36">
        <f>SUMIFS($H$5:$H$18,$G$5:$G$18,B26)</f>
        <v>7800</v>
      </c>
      <c r="E26" s="36">
        <f>SUMIFS($J$5:$J$18,$G$5:$G$18,B26)</f>
        <v>4680</v>
      </c>
    </row>
    <row r="27" spans="2:5" x14ac:dyDescent="0.25">
      <c r="B27" s="8" t="s">
        <v>589</v>
      </c>
      <c r="C27" s="25">
        <f>COUNTIF($G$5:$G$18,B27)</f>
        <v>2</v>
      </c>
      <c r="D27" s="36">
        <f>SUMIFS($H$5:$H$18,$G$5:$G$18,B27)</f>
        <v>7100</v>
      </c>
      <c r="E27" s="36">
        <f>SUMIFS($J$5:$J$18,$G$5:$G$18,B27)</f>
        <v>5680</v>
      </c>
    </row>
    <row r="28" spans="2:5" x14ac:dyDescent="0.25">
      <c r="B28" s="8" t="s">
        <v>568</v>
      </c>
      <c r="C28" s="25">
        <f>COUNTIF($G$5:$G$18,B28)</f>
        <v>2</v>
      </c>
      <c r="D28" s="36">
        <f>SUMIFS($H$5:$H$18,$G$5:$G$18,B28)</f>
        <v>8400</v>
      </c>
      <c r="E28" s="36">
        <f>SUMIFS($J$5:$J$18,$G$5:$G$18,B28)</f>
        <v>8400</v>
      </c>
    </row>
    <row r="29" spans="2:5" x14ac:dyDescent="0.25">
      <c r="B29" s="8" t="s">
        <v>617</v>
      </c>
      <c r="C29" s="25">
        <f>COUNTIF($G$5:$G$18,B29)</f>
        <v>1</v>
      </c>
      <c r="D29" s="36">
        <f>SUMIFS($H$5:$H$18,$G$5:$G$18,B29)</f>
        <v>2800</v>
      </c>
      <c r="E29" s="36">
        <f>SUMIFS($J$5:$J$18,$G$5:$G$18,B29)</f>
        <v>0</v>
      </c>
    </row>
    <row r="30" spans="2:5" x14ac:dyDescent="0.25">
      <c r="B30" s="31" t="s">
        <v>643</v>
      </c>
      <c r="C30" s="32">
        <f>SUM(C23:C29)</f>
        <v>14</v>
      </c>
      <c r="D30" s="37">
        <f>SUM(D23:D29)</f>
        <v>33250</v>
      </c>
      <c r="E30" s="37">
        <f>SUM(E23:E29)</f>
        <v>20730</v>
      </c>
    </row>
  </sheetData>
  <autoFilter ref="B4:O18"/>
  <mergeCells count="2">
    <mergeCell ref="B2:O2"/>
    <mergeCell ref="B21:F21"/>
  </mergeCells>
  <conditionalFormatting sqref="O5:O18">
    <cfRule type="expression" dxfId="9" priority="1">
      <formula>O5="Overdue"</formula>
    </cfRule>
  </conditionalFormatting>
  <conditionalFormatting sqref="O5:O18">
    <cfRule type="expression" dxfId="10" priority="2">
      <formula>O5="Due today"</formula>
    </cfRule>
  </conditionalFormatting>
  <dataValidations count="4">
    <dataValidation type="list" allowBlank="1" showErrorMessage="1" errorTitle="Pick from the list" error="Please choose one of the options in the drop-down list." sqref="E10:E18">
      <formula1>Lists!$D$2:$D$6</formula1>
    </dataValidation>
    <dataValidation type="list" allowBlank="1" showErrorMessage="1" errorTitle="Pick from the list" error="Please choose one of the options in the drop-down list." sqref="E5:E18">
      <formula1>Lists!$D$2:$D$6</formula1>
    </dataValidation>
    <dataValidation type="list" allowBlank="1" showErrorMessage="1" errorTitle="Pick from the list" error="Please choose one of the options in the drop-down list." sqref="G10:G18">
      <formula1>Lists!$E$2:$E$8</formula1>
    </dataValidation>
    <dataValidation type="list" allowBlank="1" showErrorMessage="1" errorTitle="Pick from the list" error="Please choose one of the options in the drop-down list." sqref="G5:G18">
      <formula1>Lists!$E$2:$E$8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L18"/>
  <sheetViews>
    <sheetView workbookViewId="0" showGridLines="0">
      <pane xSplit="3" ySplit="4" topLeftCell="D5" activePane="bottomRight" state="frozen"/>
      <selection pane="bottomRight"/>
    </sheetView>
  </sheetViews>
  <sheetFormatPr defaultRowHeight="16" outlineLevelRow="0" outlineLevelCol="0" x14ac:dyDescent="55" customHeight="1"/>
  <cols>
    <col min="1" max="1" width="2" customWidth="1"/>
    <col min="2" max="2" width="12" customWidth="1"/>
    <col min="3" max="3" width="24" customWidth="1"/>
    <col min="4" max="4" width="12" customWidth="1"/>
    <col min="5" max="5" width="24" customWidth="1"/>
    <col min="6" max="6" width="32" customWidth="1"/>
    <col min="7" max="7" width="34" customWidth="1"/>
    <col min="8" max="8" width="15" customWidth="1"/>
    <col min="9" max="10" width="12" customWidth="1"/>
    <col min="11" max="11" width="11" customWidth="1"/>
  </cols>
  <sheetData>
    <row r="1" ht="32" customHeight="1" spans="2:2" x14ac:dyDescent="0.25">
      <c r="B1" s="1" t="s">
        <v>644</v>
      </c>
    </row>
    <row r="2" ht="18" customHeight="1" spans="2:12" x14ac:dyDescent="0.25">
      <c r="B2" s="2" t="s">
        <v>645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2:11" x14ac:dyDescent="0.25">
      <c r="B4" s="10" t="s">
        <v>646</v>
      </c>
      <c r="C4" s="10" t="s">
        <v>647</v>
      </c>
      <c r="D4" s="10" t="s">
        <v>648</v>
      </c>
      <c r="E4" s="10" t="s">
        <v>649</v>
      </c>
      <c r="F4" s="10" t="s">
        <v>650</v>
      </c>
      <c r="G4" s="10" t="s">
        <v>651</v>
      </c>
      <c r="H4" s="10" t="s">
        <v>129</v>
      </c>
      <c r="I4" s="10" t="s">
        <v>418</v>
      </c>
      <c r="J4" s="10" t="s">
        <v>135</v>
      </c>
      <c r="K4" s="10" t="s">
        <v>652</v>
      </c>
    </row>
    <row r="5" spans="2:11" x14ac:dyDescent="0.25">
      <c r="B5" s="21">
        <v>46314</v>
      </c>
      <c r="C5" s="8" t="s">
        <v>653</v>
      </c>
      <c r="D5" s="8" t="s">
        <v>654</v>
      </c>
      <c r="E5" s="8" t="s">
        <v>655</v>
      </c>
      <c r="F5" s="8" t="s">
        <v>656</v>
      </c>
      <c r="G5" s="8" t="s">
        <v>657</v>
      </c>
      <c r="H5" s="8" t="s">
        <v>658</v>
      </c>
      <c r="I5" s="21">
        <v>46318</v>
      </c>
      <c r="J5" s="8" t="s">
        <v>659</v>
      </c>
      <c r="K5" s="9" t="str">
        <f>IF(J5="Done","Closed",IF(I5&lt;AsOfDate,"Overdue",IF(I5-AsOfDate&lt;=2,"Due soon","Open")))</f>
        <v>Closed</v>
      </c>
    </row>
    <row r="6" spans="2:11" x14ac:dyDescent="0.25">
      <c r="B6" s="21">
        <v>46314</v>
      </c>
      <c r="C6" s="8" t="s">
        <v>653</v>
      </c>
      <c r="D6" s="8" t="s">
        <v>654</v>
      </c>
      <c r="E6" s="8" t="s">
        <v>655</v>
      </c>
      <c r="F6" s="8" t="s">
        <v>660</v>
      </c>
      <c r="G6" s="8" t="s">
        <v>661</v>
      </c>
      <c r="H6" s="8" t="s">
        <v>426</v>
      </c>
      <c r="I6" s="21">
        <v>46321</v>
      </c>
      <c r="J6" s="8" t="s">
        <v>659</v>
      </c>
      <c r="K6" s="9" t="str">
        <f>IF(J6="Done","Closed",IF(I6&lt;AsOfDate,"Overdue",IF(I6-AsOfDate&lt;=2,"Due soon","Open")))</f>
        <v>Closed</v>
      </c>
    </row>
    <row r="7" spans="2:11" x14ac:dyDescent="0.25">
      <c r="B7" s="21">
        <v>46316</v>
      </c>
      <c r="C7" s="8" t="s">
        <v>662</v>
      </c>
      <c r="D7" s="8" t="s">
        <v>392</v>
      </c>
      <c r="E7" s="8" t="s">
        <v>663</v>
      </c>
      <c r="F7" s="8" t="s">
        <v>664</v>
      </c>
      <c r="G7" s="8" t="s">
        <v>665</v>
      </c>
      <c r="H7" s="8" t="s">
        <v>426</v>
      </c>
      <c r="I7" s="21">
        <v>46317</v>
      </c>
      <c r="J7" s="8" t="s">
        <v>659</v>
      </c>
      <c r="K7" s="9" t="str">
        <f>IF(J7="Done","Closed",IF(I7&lt;AsOfDate,"Overdue",IF(I7-AsOfDate&lt;=2,"Due soon","Open")))</f>
        <v>Closed</v>
      </c>
    </row>
    <row r="8" spans="2:11" x14ac:dyDescent="0.25">
      <c r="B8" s="21">
        <v>46316</v>
      </c>
      <c r="C8" s="8" t="s">
        <v>662</v>
      </c>
      <c r="D8" s="8" t="s">
        <v>392</v>
      </c>
      <c r="E8" s="8" t="s">
        <v>663</v>
      </c>
      <c r="F8" s="8" t="s">
        <v>666</v>
      </c>
      <c r="G8" s="8" t="s">
        <v>667</v>
      </c>
      <c r="H8" s="8" t="s">
        <v>438</v>
      </c>
      <c r="I8" s="21">
        <v>46323</v>
      </c>
      <c r="J8" s="8" t="s">
        <v>428</v>
      </c>
      <c r="K8" s="9" t="str">
        <f>IF(J8="Done","Closed",IF(I8&lt;AsOfDate,"Overdue",IF(I8-AsOfDate&lt;=2,"Due soon","Open")))</f>
        <v>Overdue</v>
      </c>
    </row>
    <row r="9" spans="2:11" x14ac:dyDescent="0.25">
      <c r="B9" s="21">
        <v>46318</v>
      </c>
      <c r="C9" s="8" t="s">
        <v>668</v>
      </c>
      <c r="D9" s="8" t="s">
        <v>669</v>
      </c>
      <c r="E9" s="8" t="s">
        <v>670</v>
      </c>
      <c r="F9" s="8" t="s">
        <v>671</v>
      </c>
      <c r="G9" s="8" t="s">
        <v>672</v>
      </c>
      <c r="H9" s="8" t="s">
        <v>371</v>
      </c>
      <c r="I9" s="21">
        <v>46322</v>
      </c>
      <c r="J9" s="8" t="s">
        <v>136</v>
      </c>
      <c r="K9" s="9" t="str">
        <f>IF(J9="Done","Closed",IF(I9&lt;AsOfDate,"Overdue",IF(I9-AsOfDate&lt;=2,"Due soon","Open")))</f>
        <v>Overdue</v>
      </c>
    </row>
    <row r="10" spans="2:11" x14ac:dyDescent="0.25">
      <c r="B10" s="21">
        <v>46318</v>
      </c>
      <c r="C10" s="8" t="s">
        <v>668</v>
      </c>
      <c r="D10" s="8" t="s">
        <v>669</v>
      </c>
      <c r="E10" s="8" t="s">
        <v>670</v>
      </c>
      <c r="F10" s="8" t="s">
        <v>673</v>
      </c>
      <c r="G10" s="8" t="s">
        <v>674</v>
      </c>
      <c r="H10" s="8" t="s">
        <v>426</v>
      </c>
      <c r="I10" s="21">
        <v>46325</v>
      </c>
      <c r="J10" s="8" t="s">
        <v>428</v>
      </c>
      <c r="K10" s="9" t="str">
        <f>IF(J10="Done","Closed",IF(I10&lt;AsOfDate,"Overdue",IF(I10-AsOfDate&lt;=2,"Due soon","Open")))</f>
        <v>Due soon</v>
      </c>
    </row>
    <row r="11" spans="2:11" x14ac:dyDescent="0.25">
      <c r="B11" s="21">
        <v>46321</v>
      </c>
      <c r="C11" s="8" t="s">
        <v>653</v>
      </c>
      <c r="D11" s="8" t="s">
        <v>654</v>
      </c>
      <c r="E11" s="8" t="s">
        <v>655</v>
      </c>
      <c r="F11" s="8" t="s">
        <v>675</v>
      </c>
      <c r="G11" s="8" t="s">
        <v>676</v>
      </c>
      <c r="H11" s="8" t="s">
        <v>426</v>
      </c>
      <c r="I11" s="21">
        <v>46323</v>
      </c>
      <c r="J11" s="8" t="s">
        <v>428</v>
      </c>
      <c r="K11" s="9" t="str">
        <f>IF(J11="Done","Closed",IF(I11&lt;AsOfDate,"Overdue",IF(I11-AsOfDate&lt;=2,"Due soon","Open")))</f>
        <v>Overdue</v>
      </c>
    </row>
    <row r="12" spans="2:11" x14ac:dyDescent="0.25">
      <c r="B12" s="21">
        <v>46321</v>
      </c>
      <c r="C12" s="8" t="s">
        <v>653</v>
      </c>
      <c r="D12" s="8" t="s">
        <v>654</v>
      </c>
      <c r="E12" s="8" t="s">
        <v>655</v>
      </c>
      <c r="F12" s="8" t="s">
        <v>677</v>
      </c>
      <c r="G12" s="8" t="s">
        <v>678</v>
      </c>
      <c r="H12" s="8" t="s">
        <v>658</v>
      </c>
      <c r="I12" s="21">
        <v>46332</v>
      </c>
      <c r="J12" s="8" t="s">
        <v>136</v>
      </c>
      <c r="K12" s="9" t="str">
        <f>IF(J12="Done","Closed",IF(I12&lt;AsOfDate,"Overdue",IF(I12-AsOfDate&lt;=2,"Due soon","Open")))</f>
        <v>Open</v>
      </c>
    </row>
    <row r="13" spans="2:11" x14ac:dyDescent="0.25">
      <c r="B13" s="21">
        <v>46322</v>
      </c>
      <c r="C13" s="8" t="s">
        <v>679</v>
      </c>
      <c r="D13" s="8" t="s">
        <v>392</v>
      </c>
      <c r="E13" s="8" t="s">
        <v>680</v>
      </c>
      <c r="F13" s="8" t="s">
        <v>681</v>
      </c>
      <c r="G13" s="8" t="s">
        <v>682</v>
      </c>
      <c r="H13" s="8" t="s">
        <v>446</v>
      </c>
      <c r="I13" s="21">
        <v>46326</v>
      </c>
      <c r="J13" s="8" t="s">
        <v>136</v>
      </c>
      <c r="K13" s="9" t="str">
        <f>IF(J13="Done","Closed",IF(I13&lt;AsOfDate,"Overdue",IF(I13-AsOfDate&lt;=2,"Due soon","Open")))</f>
        <v>Due soon</v>
      </c>
    </row>
    <row r="14" spans="2:11" x14ac:dyDescent="0.25">
      <c r="B14" s="21">
        <v>46322</v>
      </c>
      <c r="C14" s="8" t="s">
        <v>679</v>
      </c>
      <c r="D14" s="8" t="s">
        <v>392</v>
      </c>
      <c r="E14" s="8" t="s">
        <v>680</v>
      </c>
      <c r="F14" s="8" t="s">
        <v>683</v>
      </c>
      <c r="G14" s="8" t="s">
        <v>684</v>
      </c>
      <c r="H14" s="8" t="s">
        <v>426</v>
      </c>
      <c r="I14" s="21">
        <v>46329</v>
      </c>
      <c r="J14" s="8" t="s">
        <v>136</v>
      </c>
      <c r="K14" s="9" t="str">
        <f>IF(J14="Done","Closed",IF(I14&lt;AsOfDate,"Overdue",IF(I14-AsOfDate&lt;=2,"Due soon","Open")))</f>
        <v>Open</v>
      </c>
    </row>
    <row r="15" spans="2:11" x14ac:dyDescent="0.25">
      <c r="B15" s="21">
        <v>46323</v>
      </c>
      <c r="C15" s="8" t="s">
        <v>685</v>
      </c>
      <c r="D15" s="8" t="s">
        <v>392</v>
      </c>
      <c r="E15" s="8" t="s">
        <v>686</v>
      </c>
      <c r="F15" s="8" t="s">
        <v>687</v>
      </c>
      <c r="G15" s="8" t="s">
        <v>688</v>
      </c>
      <c r="H15" s="8" t="s">
        <v>426</v>
      </c>
      <c r="I15" s="21">
        <v>46325</v>
      </c>
      <c r="J15" s="8" t="s">
        <v>659</v>
      </c>
      <c r="K15" s="9" t="str">
        <f>IF(J15="Done","Closed",IF(I15&lt;AsOfDate,"Overdue",IF(I15-AsOfDate&lt;=2,"Due soon","Open")))</f>
        <v>Closed</v>
      </c>
    </row>
    <row r="16" spans="2:11" x14ac:dyDescent="0.25">
      <c r="B16" s="21">
        <v>46323</v>
      </c>
      <c r="C16" s="8" t="s">
        <v>685</v>
      </c>
      <c r="D16" s="8" t="s">
        <v>392</v>
      </c>
      <c r="E16" s="8" t="s">
        <v>686</v>
      </c>
      <c r="F16" s="8" t="s">
        <v>689</v>
      </c>
      <c r="G16" s="8" t="s">
        <v>690</v>
      </c>
      <c r="H16" s="8" t="s">
        <v>426</v>
      </c>
      <c r="I16" s="21">
        <v>46329</v>
      </c>
      <c r="J16" s="8" t="s">
        <v>428</v>
      </c>
      <c r="K16" s="9" t="str">
        <f>IF(J16="Done","Closed",IF(I16&lt;AsOfDate,"Overdue",IF(I16-AsOfDate&lt;=2,"Due soon","Open")))</f>
        <v>Open</v>
      </c>
    </row>
    <row r="17" spans="2:11" x14ac:dyDescent="0.25">
      <c r="B17" s="21">
        <v>46324</v>
      </c>
      <c r="C17" s="8" t="s">
        <v>691</v>
      </c>
      <c r="D17" s="8" t="s">
        <v>692</v>
      </c>
      <c r="E17" s="8" t="s">
        <v>693</v>
      </c>
      <c r="F17" s="8" t="s">
        <v>694</v>
      </c>
      <c r="G17" s="8" t="s">
        <v>695</v>
      </c>
      <c r="H17" s="8" t="s">
        <v>438</v>
      </c>
      <c r="I17" s="21">
        <v>46325</v>
      </c>
      <c r="J17" s="8" t="s">
        <v>136</v>
      </c>
      <c r="K17" s="9" t="str">
        <f>IF(J17="Done","Closed",IF(I17&lt;AsOfDate,"Overdue",IF(I17-AsOfDate&lt;=2,"Due soon","Open")))</f>
        <v>Due soon</v>
      </c>
    </row>
    <row r="18" spans="2:11" x14ac:dyDescent="0.25">
      <c r="B18" s="21">
        <v>46324</v>
      </c>
      <c r="C18" s="8" t="s">
        <v>691</v>
      </c>
      <c r="D18" s="8" t="s">
        <v>692</v>
      </c>
      <c r="E18" s="8" t="s">
        <v>693</v>
      </c>
      <c r="F18" s="8" t="s">
        <v>696</v>
      </c>
      <c r="G18" s="8" t="s">
        <v>697</v>
      </c>
      <c r="H18" s="8" t="s">
        <v>426</v>
      </c>
      <c r="I18" s="21">
        <v>46331</v>
      </c>
      <c r="J18" s="8" t="s">
        <v>136</v>
      </c>
      <c r="K18" s="9" t="str">
        <f>IF(J18="Done","Closed",IF(I18&lt;AsOfDate,"Overdue",IF(I18-AsOfDate&lt;=2,"Due soon","Open")))</f>
        <v>Open</v>
      </c>
    </row>
  </sheetData>
  <autoFilter ref="B4:K18"/>
  <mergeCells count="1">
    <mergeCell ref="B2:L2"/>
  </mergeCells>
  <conditionalFormatting sqref="K5:K18">
    <cfRule type="expression" dxfId="11" priority="1">
      <formula>K5="Overdue"</formula>
    </cfRule>
  </conditionalFormatting>
  <conditionalFormatting sqref="K5:K18">
    <cfRule type="expression" dxfId="12" priority="2">
      <formula>K5="Due soon"</formula>
    </cfRule>
  </conditionalFormatting>
  <dataValidations count="4">
    <dataValidation type="list" allowBlank="1" showErrorMessage="1" errorTitle="Pick from the list" error="Please choose one of the options in the drop-down list." sqref="D10:D18">
      <formula1>Lists!$J$2:$J$5</formula1>
    </dataValidation>
    <dataValidation type="list" allowBlank="1" showErrorMessage="1" errorTitle="Pick from the list" error="Please choose one of the options in the drop-down list." sqref="D5:D18">
      <formula1>Lists!$J$2:$J$5</formula1>
    </dataValidation>
    <dataValidation type="list" allowBlank="1" showErrorMessage="1" errorTitle="Pick from the list" error="Please choose one of the options in the drop-down list." sqref="J10:J18">
      <formula1>Lists!$C$2:$C$4</formula1>
    </dataValidation>
    <dataValidation type="list" allowBlank="1" showErrorMessage="1" errorTitle="Pick from the list" error="Please choose one of the options in the drop-down list." sqref="J5:J18">
      <formula1>Lists!$C$2:$C$4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O27"/>
  <sheetViews>
    <sheetView workbookViewId="0" showGridLines="0">
      <pane xSplit="3" ySplit="11" topLeftCell="D12" activePane="bottomRight" state="frozen"/>
      <selection pane="bottomRight"/>
    </sheetView>
  </sheetViews>
  <sheetFormatPr defaultRowHeight="16" outlineLevelRow="0" outlineLevelCol="0" x14ac:dyDescent="55" customHeight="1"/>
  <cols>
    <col min="1" max="1" width="2" customWidth="1"/>
    <col min="2" max="2" width="8" customWidth="1"/>
    <col min="3" max="3" width="14" customWidth="1"/>
    <col min="4" max="4" width="22" customWidth="1"/>
    <col min="5" max="5" width="26" customWidth="1"/>
    <col min="6" max="6" width="12" customWidth="1"/>
    <col min="7" max="7" width="11" customWidth="1"/>
    <col min="8" max="8" width="10" customWidth="1"/>
    <col min="10" max="10" width="10" customWidth="1"/>
    <col min="11" max="11" width="11" customWidth="1"/>
    <col min="12" max="12" width="10" customWidth="1"/>
    <col min="13" max="13" width="12" customWidth="1"/>
    <col min="14" max="14" width="10" customWidth="1"/>
    <col min="15" max="15" width="26" customWidth="1"/>
  </cols>
  <sheetData>
    <row r="1" ht="32" customHeight="1" spans="2:2" x14ac:dyDescent="0.25">
      <c r="B1" s="1" t="s">
        <v>698</v>
      </c>
    </row>
    <row r="2" ht="18" customHeight="1" spans="2:15" x14ac:dyDescent="0.25">
      <c r="B2" s="2" t="s">
        <v>699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2:8" x14ac:dyDescent="0.25">
      <c r="B4" s="5" t="s">
        <v>700</v>
      </c>
      <c r="C4" s="5"/>
      <c r="D4" s="8" t="s">
        <v>701</v>
      </c>
      <c r="F4" s="5" t="s">
        <v>702</v>
      </c>
      <c r="G4" s="5"/>
      <c r="H4" s="38">
        <f>COUNTA($B$12:$B$27)</f>
        <v>16</v>
      </c>
    </row>
    <row r="5" spans="2:8" x14ac:dyDescent="0.25">
      <c r="B5" s="5" t="s">
        <v>228</v>
      </c>
      <c r="C5" s="5"/>
      <c r="D5" s="21">
        <v>46323</v>
      </c>
      <c r="F5" s="5" t="s">
        <v>703</v>
      </c>
      <c r="G5" s="5"/>
      <c r="H5" s="38">
        <f>COUNTIF($I$12:$I$27,"Y")</f>
        <v>14</v>
      </c>
    </row>
    <row r="6" spans="2:8" x14ac:dyDescent="0.25">
      <c r="B6" s="5" t="s">
        <v>704</v>
      </c>
      <c r="C6" s="5"/>
      <c r="D6" s="22">
        <v>90</v>
      </c>
      <c r="F6" s="5" t="s">
        <v>705</v>
      </c>
      <c r="G6" s="5"/>
      <c r="H6" s="39">
        <f>IFERROR(H5/H4,0)</f>
        <v>0.875</v>
      </c>
    </row>
    <row r="7" spans="2:8" x14ac:dyDescent="0.25">
      <c r="B7" s="5" t="s">
        <v>706</v>
      </c>
      <c r="C7" s="5"/>
      <c r="D7" s="27">
        <v>0.8</v>
      </c>
      <c r="F7" s="5" t="s">
        <v>707</v>
      </c>
      <c r="G7" s="5"/>
      <c r="H7" s="38">
        <f>COUNTIF($M$12:$M$27,"Eligible")</f>
        <v>11</v>
      </c>
    </row>
    <row r="8" spans="2:8" x14ac:dyDescent="0.25">
      <c r="B8" s="5" t="s">
        <v>708</v>
      </c>
      <c r="C8" s="5"/>
      <c r="D8" s="27">
        <v>0.9</v>
      </c>
      <c r="F8" s="5" t="s">
        <v>709</v>
      </c>
      <c r="G8" s="5"/>
      <c r="H8" s="38">
        <f>COUNTIFS($M$12:$M$27,"Eligible",$N$12:$N$27,"&lt;&gt;Y")</f>
        <v>5</v>
      </c>
    </row>
    <row r="11" ht="30" customHeight="1" spans="2:15" x14ac:dyDescent="0.25">
      <c r="B11" s="10" t="s">
        <v>710</v>
      </c>
      <c r="C11" s="10" t="s">
        <v>711</v>
      </c>
      <c r="D11" s="10" t="s">
        <v>712</v>
      </c>
      <c r="E11" s="10" t="s">
        <v>288</v>
      </c>
      <c r="F11" s="10" t="s">
        <v>702</v>
      </c>
      <c r="G11" s="10" t="s">
        <v>384</v>
      </c>
      <c r="H11" s="10" t="s">
        <v>388</v>
      </c>
      <c r="I11" s="10" t="s">
        <v>703</v>
      </c>
      <c r="J11" s="10" t="s">
        <v>713</v>
      </c>
      <c r="K11" s="10" t="s">
        <v>714</v>
      </c>
      <c r="L11" s="10" t="s">
        <v>715</v>
      </c>
      <c r="M11" s="10" t="s">
        <v>707</v>
      </c>
      <c r="N11" s="10" t="s">
        <v>716</v>
      </c>
      <c r="O11" s="10" t="s">
        <v>503</v>
      </c>
    </row>
    <row r="12" spans="2:15" x14ac:dyDescent="0.25">
      <c r="B12" s="8" t="s">
        <v>717</v>
      </c>
      <c r="C12" s="8" t="s">
        <v>718</v>
      </c>
      <c r="D12" s="8" t="s">
        <v>505</v>
      </c>
      <c r="E12" s="8" t="s">
        <v>719</v>
      </c>
      <c r="F12" s="21">
        <v>46302</v>
      </c>
      <c r="G12" s="8" t="s">
        <v>720</v>
      </c>
      <c r="H12" s="8" t="s">
        <v>720</v>
      </c>
      <c r="I12" s="8" t="s">
        <v>720</v>
      </c>
      <c r="J12" s="22">
        <v>90</v>
      </c>
      <c r="K12" s="30">
        <f>IF(I12="Y",MIN(1,J12/$D$6),0)</f>
        <v>1</v>
      </c>
      <c r="L12" s="27">
        <v>1</v>
      </c>
      <c r="M12" s="9" t="str">
        <f>IF(AND(I12="Y",K12&gt;=$D$7,L12&gt;=$D$8),"Eligible","Not eligible")</f>
        <v>Eligible</v>
      </c>
      <c r="N12" s="8" t="s">
        <v>720</v>
      </c>
      <c r="O12" s="9" t="str">
        <f>IF(M12="Eligible",IF(N12="Y","Complete","Send certificate"),IF(I12="Y","Explain requirement + rebook","Send recording + rebook"))</f>
        <v>Complete</v>
      </c>
    </row>
    <row r="13" spans="2:15" x14ac:dyDescent="0.25">
      <c r="B13" s="8" t="s">
        <v>721</v>
      </c>
      <c r="C13" s="8" t="s">
        <v>722</v>
      </c>
      <c r="D13" s="8" t="s">
        <v>508</v>
      </c>
      <c r="E13" s="8" t="s">
        <v>723</v>
      </c>
      <c r="F13" s="21">
        <v>46303</v>
      </c>
      <c r="G13" s="8" t="s">
        <v>720</v>
      </c>
      <c r="H13" s="8" t="s">
        <v>720</v>
      </c>
      <c r="I13" s="8" t="s">
        <v>720</v>
      </c>
      <c r="J13" s="22">
        <v>88</v>
      </c>
      <c r="K13" s="30">
        <f>IF(I13="Y",MIN(1,J13/$D$6),0)</f>
        <v>0.977777777777778</v>
      </c>
      <c r="L13" s="27">
        <v>0.95</v>
      </c>
      <c r="M13" s="9" t="str">
        <f>IF(AND(I13="Y",K13&gt;=$D$7,L13&gt;=$D$8),"Eligible","Not eligible")</f>
        <v>Eligible</v>
      </c>
      <c r="N13" s="8" t="s">
        <v>720</v>
      </c>
      <c r="O13" s="9" t="str">
        <f>IF(M13="Eligible",IF(N13="Y","Complete","Send certificate"),IF(I13="Y","Explain requirement + rebook","Send recording + rebook"))</f>
        <v>Complete</v>
      </c>
    </row>
    <row r="14" spans="2:15" x14ac:dyDescent="0.25">
      <c r="B14" s="8" t="s">
        <v>724</v>
      </c>
      <c r="C14" s="8" t="s">
        <v>725</v>
      </c>
      <c r="D14" s="8" t="s">
        <v>726</v>
      </c>
      <c r="E14" s="8" t="s">
        <v>727</v>
      </c>
      <c r="F14" s="21">
        <v>46304</v>
      </c>
      <c r="G14" s="8" t="s">
        <v>720</v>
      </c>
      <c r="H14" s="8" t="s">
        <v>720</v>
      </c>
      <c r="I14" s="8" t="s">
        <v>720</v>
      </c>
      <c r="J14" s="22">
        <v>90</v>
      </c>
      <c r="K14" s="30">
        <f>IF(I14="Y",MIN(1,J14/$D$6),0)</f>
        <v>1</v>
      </c>
      <c r="L14" s="27">
        <v>1</v>
      </c>
      <c r="M14" s="9" t="str">
        <f>IF(AND(I14="Y",K14&gt;=$D$7,L14&gt;=$D$8),"Eligible","Not eligible")</f>
        <v>Eligible</v>
      </c>
      <c r="N14" s="8" t="s">
        <v>720</v>
      </c>
      <c r="O14" s="9" t="str">
        <f>IF(M14="Eligible",IF(N14="Y","Complete","Send certificate"),IF(I14="Y","Explain requirement + rebook","Send recording + rebook"))</f>
        <v>Complete</v>
      </c>
    </row>
    <row r="15" spans="2:15" x14ac:dyDescent="0.25">
      <c r="B15" s="8" t="s">
        <v>728</v>
      </c>
      <c r="C15" s="8" t="s">
        <v>729</v>
      </c>
      <c r="D15" s="8" t="s">
        <v>523</v>
      </c>
      <c r="E15" s="8" t="s">
        <v>730</v>
      </c>
      <c r="F15" s="21">
        <v>46305</v>
      </c>
      <c r="G15" s="8" t="s">
        <v>720</v>
      </c>
      <c r="H15" s="8" t="s">
        <v>720</v>
      </c>
      <c r="I15" s="8" t="s">
        <v>720</v>
      </c>
      <c r="J15" s="22">
        <v>61</v>
      </c>
      <c r="K15" s="30">
        <f>IF(I15="Y",MIN(1,J15/$D$6),0)</f>
        <v>0.677777777777778</v>
      </c>
      <c r="L15" s="27">
        <v>1</v>
      </c>
      <c r="M15" s="9" t="str">
        <f>IF(AND(I15="Y",K15&gt;=$D$7,L15&gt;=$D$8),"Eligible","Not eligible")</f>
        <v>Not eligible</v>
      </c>
      <c r="N15" s="8" t="s">
        <v>731</v>
      </c>
      <c r="O15" s="9" t="str">
        <f>IF(M15="Eligible",IF(N15="Y","Complete","Send certificate"),IF(I15="Y","Explain requirement + rebook","Send recording + rebook"))</f>
        <v>Explain requirement + rebook</v>
      </c>
    </row>
    <row r="16" spans="2:15" x14ac:dyDescent="0.25">
      <c r="B16" s="8" t="s">
        <v>732</v>
      </c>
      <c r="C16" s="8" t="s">
        <v>733</v>
      </c>
      <c r="D16" s="8" t="s">
        <v>520</v>
      </c>
      <c r="E16" s="8" t="s">
        <v>734</v>
      </c>
      <c r="F16" s="21">
        <v>46306</v>
      </c>
      <c r="G16" s="8" t="s">
        <v>720</v>
      </c>
      <c r="H16" s="8" t="s">
        <v>720</v>
      </c>
      <c r="I16" s="8" t="s">
        <v>720</v>
      </c>
      <c r="J16" s="22">
        <v>90</v>
      </c>
      <c r="K16" s="30">
        <f>IF(I16="Y",MIN(1,J16/$D$6),0)</f>
        <v>1</v>
      </c>
      <c r="L16" s="27">
        <v>0.8</v>
      </c>
      <c r="M16" s="9" t="str">
        <f>IF(AND(I16="Y",K16&gt;=$D$7,L16&gt;=$D$8),"Eligible","Not eligible")</f>
        <v>Not eligible</v>
      </c>
      <c r="N16" s="8" t="s">
        <v>731</v>
      </c>
      <c r="O16" s="9" t="str">
        <f>IF(M16="Eligible",IF(N16="Y","Complete","Send certificate"),IF(I16="Y","Explain requirement + rebook","Send recording + rebook"))</f>
        <v>Explain requirement + rebook</v>
      </c>
    </row>
    <row r="17" spans="2:15" x14ac:dyDescent="0.25">
      <c r="B17" s="8" t="s">
        <v>735</v>
      </c>
      <c r="C17" s="8" t="s">
        <v>736</v>
      </c>
      <c r="D17" s="8" t="s">
        <v>737</v>
      </c>
      <c r="E17" s="8" t="s">
        <v>738</v>
      </c>
      <c r="F17" s="21">
        <v>46307</v>
      </c>
      <c r="G17" s="8" t="s">
        <v>720</v>
      </c>
      <c r="H17" s="8" t="s">
        <v>720</v>
      </c>
      <c r="I17" s="8" t="s">
        <v>720</v>
      </c>
      <c r="J17" s="22">
        <v>85</v>
      </c>
      <c r="K17" s="30">
        <f>IF(I17="Y",MIN(1,J17/$D$6),0)</f>
        <v>0.944444444444444</v>
      </c>
      <c r="L17" s="27">
        <v>0.97</v>
      </c>
      <c r="M17" s="9" t="str">
        <f>IF(AND(I17="Y",K17&gt;=$D$7,L17&gt;=$D$8),"Eligible","Not eligible")</f>
        <v>Eligible</v>
      </c>
      <c r="N17" s="8" t="s">
        <v>731</v>
      </c>
      <c r="O17" s="9" t="str">
        <f>IF(M17="Eligible",IF(N17="Y","Complete","Send certificate"),IF(I17="Y","Explain requirement + rebook","Send recording + rebook"))</f>
        <v>Send certificate</v>
      </c>
    </row>
    <row r="18" spans="2:15" x14ac:dyDescent="0.25">
      <c r="B18" s="8" t="s">
        <v>739</v>
      </c>
      <c r="C18" s="8" t="s">
        <v>740</v>
      </c>
      <c r="D18" s="8" t="s">
        <v>511</v>
      </c>
      <c r="E18" s="8" t="s">
        <v>741</v>
      </c>
      <c r="F18" s="21">
        <v>46308</v>
      </c>
      <c r="G18" s="8" t="s">
        <v>720</v>
      </c>
      <c r="H18" s="8" t="s">
        <v>720</v>
      </c>
      <c r="I18" s="8" t="s">
        <v>731</v>
      </c>
      <c r="J18" s="22">
        <v>0</v>
      </c>
      <c r="K18" s="30">
        <f>IF(I18="Y",MIN(1,J18/$D$6),0)</f>
        <v>0</v>
      </c>
      <c r="L18" s="27">
        <v>0</v>
      </c>
      <c r="M18" s="9" t="str">
        <f>IF(AND(I18="Y",K18&gt;=$D$7,L18&gt;=$D$8),"Eligible","Not eligible")</f>
        <v>Not eligible</v>
      </c>
      <c r="N18" s="8" t="s">
        <v>731</v>
      </c>
      <c r="O18" s="9" t="str">
        <f>IF(M18="Eligible",IF(N18="Y","Complete","Send certificate"),IF(I18="Y","Explain requirement + rebook","Send recording + rebook"))</f>
        <v>Send recording + rebook</v>
      </c>
    </row>
    <row r="19" spans="2:15" x14ac:dyDescent="0.25">
      <c r="B19" s="8" t="s">
        <v>742</v>
      </c>
      <c r="C19" s="8" t="s">
        <v>743</v>
      </c>
      <c r="D19" s="8" t="s">
        <v>514</v>
      </c>
      <c r="E19" s="8" t="s">
        <v>744</v>
      </c>
      <c r="F19" s="21">
        <v>46309</v>
      </c>
      <c r="G19" s="8" t="s">
        <v>720</v>
      </c>
      <c r="H19" s="8" t="s">
        <v>720</v>
      </c>
      <c r="I19" s="8" t="s">
        <v>720</v>
      </c>
      <c r="J19" s="22">
        <v>90</v>
      </c>
      <c r="K19" s="30">
        <f>IF(I19="Y",MIN(1,J19/$D$6),0)</f>
        <v>1</v>
      </c>
      <c r="L19" s="27">
        <v>0.92</v>
      </c>
      <c r="M19" s="9" t="str">
        <f>IF(AND(I19="Y",K19&gt;=$D$7,L19&gt;=$D$8),"Eligible","Not eligible")</f>
        <v>Eligible</v>
      </c>
      <c r="N19" s="8" t="s">
        <v>720</v>
      </c>
      <c r="O19" s="9" t="str">
        <f>IF(M19="Eligible",IF(N19="Y","Complete","Send certificate"),IF(I19="Y","Explain requirement + rebook","Send recording + rebook"))</f>
        <v>Complete</v>
      </c>
    </row>
    <row r="20" spans="2:15" x14ac:dyDescent="0.25">
      <c r="B20" s="8" t="s">
        <v>745</v>
      </c>
      <c r="C20" s="8" t="s">
        <v>746</v>
      </c>
      <c r="D20" s="8" t="s">
        <v>531</v>
      </c>
      <c r="E20" s="8" t="s">
        <v>747</v>
      </c>
      <c r="F20" s="21">
        <v>46310</v>
      </c>
      <c r="G20" s="8" t="s">
        <v>720</v>
      </c>
      <c r="H20" s="8" t="s">
        <v>720</v>
      </c>
      <c r="I20" s="8" t="s">
        <v>720</v>
      </c>
      <c r="J20" s="22">
        <v>78</v>
      </c>
      <c r="K20" s="30">
        <f>IF(I20="Y",MIN(1,J20/$D$6),0)</f>
        <v>0.866666666666667</v>
      </c>
      <c r="L20" s="27">
        <v>1</v>
      </c>
      <c r="M20" s="9" t="str">
        <f>IF(AND(I20="Y",K20&gt;=$D$7,L20&gt;=$D$8),"Eligible","Not eligible")</f>
        <v>Eligible</v>
      </c>
      <c r="N20" s="8" t="s">
        <v>731</v>
      </c>
      <c r="O20" s="9" t="str">
        <f>IF(M20="Eligible",IF(N20="Y","Complete","Send certificate"),IF(I20="Y","Explain requirement + rebook","Send recording + rebook"))</f>
        <v>Send certificate</v>
      </c>
    </row>
    <row r="21" spans="2:15" x14ac:dyDescent="0.25">
      <c r="B21" s="8" t="s">
        <v>748</v>
      </c>
      <c r="C21" s="8" t="s">
        <v>749</v>
      </c>
      <c r="D21" s="8" t="s">
        <v>535</v>
      </c>
      <c r="E21" s="8" t="s">
        <v>750</v>
      </c>
      <c r="F21" s="21">
        <v>46311</v>
      </c>
      <c r="G21" s="8" t="s">
        <v>720</v>
      </c>
      <c r="H21" s="8" t="s">
        <v>720</v>
      </c>
      <c r="I21" s="8" t="s">
        <v>720</v>
      </c>
      <c r="J21" s="22">
        <v>90</v>
      </c>
      <c r="K21" s="30">
        <f>IF(I21="Y",MIN(1,J21/$D$6),0)</f>
        <v>1</v>
      </c>
      <c r="L21" s="27">
        <v>1</v>
      </c>
      <c r="M21" s="9" t="str">
        <f>IF(AND(I21="Y",K21&gt;=$D$7,L21&gt;=$D$8),"Eligible","Not eligible")</f>
        <v>Eligible</v>
      </c>
      <c r="N21" s="8" t="s">
        <v>720</v>
      </c>
      <c r="O21" s="9" t="str">
        <f>IF(M21="Eligible",IF(N21="Y","Complete","Send certificate"),IF(I21="Y","Explain requirement + rebook","Send recording + rebook"))</f>
        <v>Complete</v>
      </c>
    </row>
    <row r="22" spans="2:15" x14ac:dyDescent="0.25">
      <c r="B22" s="8" t="s">
        <v>751</v>
      </c>
      <c r="C22" s="8" t="s">
        <v>752</v>
      </c>
      <c r="D22" s="8" t="s">
        <v>753</v>
      </c>
      <c r="E22" s="8" t="s">
        <v>754</v>
      </c>
      <c r="F22" s="21">
        <v>46312</v>
      </c>
      <c r="G22" s="8" t="s">
        <v>720</v>
      </c>
      <c r="H22" s="8" t="s">
        <v>720</v>
      </c>
      <c r="I22" s="8" t="s">
        <v>720</v>
      </c>
      <c r="J22" s="22">
        <v>74</v>
      </c>
      <c r="K22" s="30">
        <f>IF(I22="Y",MIN(1,J22/$D$6),0)</f>
        <v>0.822222222222222</v>
      </c>
      <c r="L22" s="27">
        <v>0.99</v>
      </c>
      <c r="M22" s="9" t="str">
        <f>IF(AND(I22="Y",K22&gt;=$D$7,L22&gt;=$D$8),"Eligible","Not eligible")</f>
        <v>Eligible</v>
      </c>
      <c r="N22" s="8" t="s">
        <v>731</v>
      </c>
      <c r="O22" s="9" t="str">
        <f>IF(M22="Eligible",IF(N22="Y","Complete","Send certificate"),IF(I22="Y","Explain requirement + rebook","Send recording + rebook"))</f>
        <v>Send certificate</v>
      </c>
    </row>
    <row r="23" spans="2:15" x14ac:dyDescent="0.25">
      <c r="B23" s="8" t="s">
        <v>755</v>
      </c>
      <c r="C23" s="8" t="s">
        <v>756</v>
      </c>
      <c r="D23" s="8" t="s">
        <v>585</v>
      </c>
      <c r="E23" s="8" t="s">
        <v>757</v>
      </c>
      <c r="F23" s="21">
        <v>46313</v>
      </c>
      <c r="G23" s="8" t="s">
        <v>720</v>
      </c>
      <c r="H23" s="8" t="s">
        <v>720</v>
      </c>
      <c r="I23" s="8" t="s">
        <v>731</v>
      </c>
      <c r="J23" s="22">
        <v>0</v>
      </c>
      <c r="K23" s="30">
        <f>IF(I23="Y",MIN(1,J23/$D$6),0)</f>
        <v>0</v>
      </c>
      <c r="L23" s="27">
        <v>0</v>
      </c>
      <c r="M23" s="9" t="str">
        <f>IF(AND(I23="Y",K23&gt;=$D$7,L23&gt;=$D$8),"Eligible","Not eligible")</f>
        <v>Not eligible</v>
      </c>
      <c r="N23" s="8" t="s">
        <v>731</v>
      </c>
      <c r="O23" s="9" t="str">
        <f>IF(M23="Eligible",IF(N23="Y","Complete","Send certificate"),IF(I23="Y","Explain requirement + rebook","Send recording + rebook"))</f>
        <v>Send recording + rebook</v>
      </c>
    </row>
    <row r="24" spans="2:15" x14ac:dyDescent="0.25">
      <c r="B24" s="8" t="s">
        <v>758</v>
      </c>
      <c r="C24" s="8" t="s">
        <v>759</v>
      </c>
      <c r="D24" s="8" t="s">
        <v>760</v>
      </c>
      <c r="E24" s="8" t="s">
        <v>761</v>
      </c>
      <c r="F24" s="21">
        <v>46314</v>
      </c>
      <c r="G24" s="8" t="s">
        <v>720</v>
      </c>
      <c r="H24" s="8" t="s">
        <v>720</v>
      </c>
      <c r="I24" s="8" t="s">
        <v>720</v>
      </c>
      <c r="J24" s="22">
        <v>90</v>
      </c>
      <c r="K24" s="30">
        <f>IF(I24="Y",MIN(1,J24/$D$6),0)</f>
        <v>1</v>
      </c>
      <c r="L24" s="27">
        <v>0.94</v>
      </c>
      <c r="M24" s="9" t="str">
        <f>IF(AND(I24="Y",K24&gt;=$D$7,L24&gt;=$D$8),"Eligible","Not eligible")</f>
        <v>Eligible</v>
      </c>
      <c r="N24" s="8" t="s">
        <v>731</v>
      </c>
      <c r="O24" s="9" t="str">
        <f>IF(M24="Eligible",IF(N24="Y","Complete","Send certificate"),IF(I24="Y","Explain requirement + rebook","Send recording + rebook"))</f>
        <v>Send certificate</v>
      </c>
    </row>
    <row r="25" spans="2:15" x14ac:dyDescent="0.25">
      <c r="B25" s="8" t="s">
        <v>762</v>
      </c>
      <c r="C25" s="8" t="s">
        <v>763</v>
      </c>
      <c r="D25" s="8" t="s">
        <v>764</v>
      </c>
      <c r="E25" s="8" t="s">
        <v>765</v>
      </c>
      <c r="F25" s="21">
        <v>46315</v>
      </c>
      <c r="G25" s="8" t="s">
        <v>720</v>
      </c>
      <c r="H25" s="8" t="s">
        <v>720</v>
      </c>
      <c r="I25" s="8" t="s">
        <v>720</v>
      </c>
      <c r="J25" s="22">
        <v>82</v>
      </c>
      <c r="K25" s="30">
        <f>IF(I25="Y",MIN(1,J25/$D$6),0)</f>
        <v>0.911111111111111</v>
      </c>
      <c r="L25" s="27">
        <v>0.91</v>
      </c>
      <c r="M25" s="9" t="str">
        <f>IF(AND(I25="Y",K25&gt;=$D$7,L25&gt;=$D$8),"Eligible","Not eligible")</f>
        <v>Eligible</v>
      </c>
      <c r="N25" s="8" t="s">
        <v>731</v>
      </c>
      <c r="O25" s="9" t="str">
        <f>IF(M25="Eligible",IF(N25="Y","Complete","Send certificate"),IF(I25="Y","Explain requirement + rebook","Send recording + rebook"))</f>
        <v>Send certificate</v>
      </c>
    </row>
    <row r="26" spans="2:15" x14ac:dyDescent="0.25">
      <c r="B26" s="8" t="s">
        <v>766</v>
      </c>
      <c r="C26" s="8" t="s">
        <v>767</v>
      </c>
      <c r="D26" s="8" t="s">
        <v>632</v>
      </c>
      <c r="E26" s="8" t="s">
        <v>768</v>
      </c>
      <c r="F26" s="21">
        <v>46302</v>
      </c>
      <c r="G26" s="8" t="s">
        <v>720</v>
      </c>
      <c r="H26" s="8" t="s">
        <v>720</v>
      </c>
      <c r="I26" s="8" t="s">
        <v>720</v>
      </c>
      <c r="J26" s="22">
        <v>90</v>
      </c>
      <c r="K26" s="30">
        <f>IF(I26="Y",MIN(1,J26/$D$6),0)</f>
        <v>1</v>
      </c>
      <c r="L26" s="27">
        <v>0.85</v>
      </c>
      <c r="M26" s="9" t="str">
        <f>IF(AND(I26="Y",K26&gt;=$D$7,L26&gt;=$D$8),"Eligible","Not eligible")</f>
        <v>Not eligible</v>
      </c>
      <c r="N26" s="8" t="s">
        <v>731</v>
      </c>
      <c r="O26" s="9" t="str">
        <f>IF(M26="Eligible",IF(N26="Y","Complete","Send certificate"),IF(I26="Y","Explain requirement + rebook","Send recording + rebook"))</f>
        <v>Explain requirement + rebook</v>
      </c>
    </row>
    <row r="27" spans="2:15" x14ac:dyDescent="0.25">
      <c r="B27" s="8" t="s">
        <v>769</v>
      </c>
      <c r="C27" s="8" t="s">
        <v>770</v>
      </c>
      <c r="D27" s="8" t="s">
        <v>623</v>
      </c>
      <c r="E27" s="8" t="s">
        <v>771</v>
      </c>
      <c r="F27" s="21">
        <v>46303</v>
      </c>
      <c r="G27" s="8" t="s">
        <v>720</v>
      </c>
      <c r="H27" s="8" t="s">
        <v>720</v>
      </c>
      <c r="I27" s="8" t="s">
        <v>720</v>
      </c>
      <c r="J27" s="22">
        <v>89</v>
      </c>
      <c r="K27" s="30">
        <f>IF(I27="Y",MIN(1,J27/$D$6),0)</f>
        <v>0.988888888888889</v>
      </c>
      <c r="L27" s="27">
        <v>1</v>
      </c>
      <c r="M27" s="9" t="str">
        <f>IF(AND(I27="Y",K27&gt;=$D$7,L27&gt;=$D$8),"Eligible","Not eligible")</f>
        <v>Eligible</v>
      </c>
      <c r="N27" s="8" t="s">
        <v>720</v>
      </c>
      <c r="O27" s="9" t="str">
        <f>IF(M27="Eligible",IF(N27="Y","Complete","Send certificate"),IF(I27="Y","Explain requirement + rebook","Send recording + rebook"))</f>
        <v>Complete</v>
      </c>
    </row>
  </sheetData>
  <mergeCells count="11">
    <mergeCell ref="B2:O2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</mergeCells>
  <conditionalFormatting sqref="M12:M27">
    <cfRule type="expression" dxfId="13" priority="1">
      <formula>M12="Eligible"</formula>
    </cfRule>
  </conditionalFormatting>
  <dataValidations count="2">
    <dataValidation type="list" allowBlank="1" showErrorMessage="1" errorTitle="Pick from the list" error="Please choose one of the options in the drop-down list." sqref="G12:I27">
      <formula1>Lists!$G$2:$G$3</formula1>
    </dataValidation>
    <dataValidation type="list" allowBlank="1" showErrorMessage="1" errorTitle="Pick from the list" error="Please choose one of the options in the drop-down list." sqref="N12:N27">
      <formula1>Lists!$G$2:$G$3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P10"/>
  <sheetViews>
    <sheetView workbookViewId="0" showGridLines="0">
      <pane xSplit="3" ySplit="4" topLeftCell="D5" activePane="bottomRight" state="frozen"/>
      <selection pane="bottomRight"/>
    </sheetView>
  </sheetViews>
  <sheetFormatPr defaultRowHeight="16" outlineLevelRow="0" outlineLevelCol="0" x14ac:dyDescent="55" customHeight="1"/>
  <cols>
    <col min="1" max="1" width="2" customWidth="1"/>
    <col min="2" max="2" width="24" customWidth="1"/>
    <col min="3" max="3" width="20" customWidth="1"/>
    <col min="4" max="4" width="12" customWidth="1"/>
    <col min="5" max="12" width="10" customWidth="1"/>
    <col min="13" max="13" width="11" customWidth="1"/>
    <col min="14" max="14" width="12" customWidth="1"/>
    <col min="15" max="15" width="11" customWidth="1"/>
    <col min="16" max="16" width="22" customWidth="1"/>
  </cols>
  <sheetData>
    <row r="1" ht="32" customHeight="1" spans="2:2" x14ac:dyDescent="0.25">
      <c r="B1" s="1" t="s">
        <v>772</v>
      </c>
    </row>
    <row r="2" ht="18" customHeight="1" spans="2:15" x14ac:dyDescent="0.25">
      <c r="B2" s="2" t="s">
        <v>773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42" customHeight="1" spans="2:16" x14ac:dyDescent="0.25">
      <c r="B4" s="10" t="s">
        <v>491</v>
      </c>
      <c r="C4" s="10" t="s">
        <v>774</v>
      </c>
      <c r="D4" s="10" t="s">
        <v>775</v>
      </c>
      <c r="E4" s="10" t="s">
        <v>776</v>
      </c>
      <c r="F4" s="10" t="s">
        <v>777</v>
      </c>
      <c r="G4" s="10" t="s">
        <v>298</v>
      </c>
      <c r="H4" s="10" t="s">
        <v>778</v>
      </c>
      <c r="I4" s="10" t="s">
        <v>779</v>
      </c>
      <c r="J4" s="10" t="s">
        <v>780</v>
      </c>
      <c r="K4" s="10" t="s">
        <v>316</v>
      </c>
      <c r="L4" s="10" t="s">
        <v>781</v>
      </c>
      <c r="M4" s="10" t="s">
        <v>782</v>
      </c>
      <c r="N4" s="10" t="s">
        <v>135</v>
      </c>
      <c r="O4" s="10" t="s">
        <v>783</v>
      </c>
      <c r="P4" s="10" t="s">
        <v>560</v>
      </c>
    </row>
    <row r="5" spans="2:16" x14ac:dyDescent="0.25">
      <c r="B5" s="8" t="s">
        <v>535</v>
      </c>
      <c r="C5" s="8" t="s">
        <v>567</v>
      </c>
      <c r="D5" s="21">
        <v>46310</v>
      </c>
      <c r="E5" s="8" t="s">
        <v>720</v>
      </c>
      <c r="F5" s="8" t="s">
        <v>720</v>
      </c>
      <c r="G5" s="8" t="s">
        <v>720</v>
      </c>
      <c r="H5" s="8" t="s">
        <v>720</v>
      </c>
      <c r="I5" s="8" t="s">
        <v>720</v>
      </c>
      <c r="J5" s="8" t="s">
        <v>720</v>
      </c>
      <c r="K5" s="8" t="s">
        <v>720</v>
      </c>
      <c r="L5" s="8" t="s">
        <v>720</v>
      </c>
      <c r="M5" s="30">
        <f>COUNTIF(E5:L5,"Y")/8</f>
        <v>1</v>
      </c>
      <c r="N5" s="9" t="str">
        <f>IF(M5=1,"Complete",IF(M5&gt;=0.5,"In progress","Just started"))</f>
        <v>Complete</v>
      </c>
      <c r="O5" s="24" t="str">
        <f>IF(M5=1,"",AsOfDate-D5)</f>
        <v/>
      </c>
      <c r="P5" s="9" t="str">
        <f>IF(E5&lt;&gt;"Y",E$4,IF(F5&lt;&gt;"Y",F$4,IF(G5&lt;&gt;"Y",G$4,IF(H5&lt;&gt;"Y",H$4,IF(I5&lt;&gt;"Y",I$4,IF(J5&lt;&gt;"Y",J$4,IF(K5&lt;&gt;"Y",K$4,IF(L5&lt;&gt;"Y",L$4,"All done"))))))))</f>
        <v>All done</v>
      </c>
    </row>
    <row r="6" spans="2:16" x14ac:dyDescent="0.25">
      <c r="B6" s="8" t="s">
        <v>632</v>
      </c>
      <c r="C6" s="8" t="s">
        <v>634</v>
      </c>
      <c r="D6" s="21">
        <v>46315</v>
      </c>
      <c r="E6" s="8" t="s">
        <v>720</v>
      </c>
      <c r="F6" s="8" t="s">
        <v>720</v>
      </c>
      <c r="G6" s="8" t="s">
        <v>720</v>
      </c>
      <c r="H6" s="8" t="s">
        <v>720</v>
      </c>
      <c r="I6" s="8" t="s">
        <v>720</v>
      </c>
      <c r="J6" s="8" t="s">
        <v>720</v>
      </c>
      <c r="K6" s="8" t="s">
        <v>720</v>
      </c>
      <c r="L6" s="8"/>
      <c r="M6" s="30">
        <f>COUNTIF(E6:L6,"Y")/8</f>
        <v>0.875</v>
      </c>
      <c r="N6" s="9" t="str">
        <f>IF(M6=1,"Complete",IF(M6&gt;=0.5,"In progress","Just started"))</f>
        <v>In progress</v>
      </c>
      <c r="O6" s="24">
        <f>IF(M6=1,"",AsOfDate-D6)</f>
        <v>10</v>
      </c>
      <c r="P6" s="9" t="str">
        <f>IF(E6&lt;&gt;"Y",E$4,IF(F6&lt;&gt;"Y",F$4,IF(G6&lt;&gt;"Y",G$4,IF(H6&lt;&gt;"Y",H$4,IF(I6&lt;&gt;"Y",I$4,IF(J6&lt;&gt;"Y",J$4,IF(K6&lt;&gt;"Y",K$4,IF(L6&lt;&gt;"Y",L$4,"All done"))))))))</f>
        <v>Access granted</v>
      </c>
    </row>
    <row r="7" spans="2:16" x14ac:dyDescent="0.25">
      <c r="B7" s="8" t="s">
        <v>505</v>
      </c>
      <c r="C7" s="8" t="s">
        <v>784</v>
      </c>
      <c r="D7" s="21">
        <v>46322</v>
      </c>
      <c r="E7" s="8" t="s">
        <v>720</v>
      </c>
      <c r="F7" s="8" t="s">
        <v>720</v>
      </c>
      <c r="G7" s="8" t="s">
        <v>720</v>
      </c>
      <c r="H7" s="8" t="s">
        <v>720</v>
      </c>
      <c r="I7" s="8"/>
      <c r="J7" s="8" t="s">
        <v>720</v>
      </c>
      <c r="K7" s="8"/>
      <c r="L7" s="8"/>
      <c r="M7" s="30">
        <f>COUNTIF(E7:L7,"Y")/8</f>
        <v>0.625</v>
      </c>
      <c r="N7" s="9" t="str">
        <f>IF(M7=1,"Complete",IF(M7&gt;=0.5,"In progress","Just started"))</f>
        <v>In progress</v>
      </c>
      <c r="O7" s="24">
        <f>IF(M7=1,"",AsOfDate-D7)</f>
        <v>3</v>
      </c>
      <c r="P7" s="9" t="str">
        <f>IF(E7&lt;&gt;"Y",E$4,IF(F7&lt;&gt;"Y",F$4,IF(G7&lt;&gt;"Y",G$4,IF(H7&lt;&gt;"Y",H$4,IF(I7&lt;&gt;"Y",I$4,IF(J7&lt;&gt;"Y",J$4,IF(K7&lt;&gt;"Y",K$4,IF(L7&lt;&gt;"Y",L$4,"All done"))))))))</f>
        <v>Xero contact</v>
      </c>
    </row>
    <row r="8" spans="2:16" x14ac:dyDescent="0.25">
      <c r="B8" s="8" t="s">
        <v>511</v>
      </c>
      <c r="C8" s="8" t="s">
        <v>599</v>
      </c>
      <c r="D8" s="21">
        <v>46317</v>
      </c>
      <c r="E8" s="8" t="s">
        <v>720</v>
      </c>
      <c r="F8" s="8"/>
      <c r="G8" s="8"/>
      <c r="H8" s="8" t="s">
        <v>720</v>
      </c>
      <c r="I8" s="8"/>
      <c r="J8" s="8"/>
      <c r="K8" s="8"/>
      <c r="L8" s="8"/>
      <c r="M8" s="30">
        <f>COUNTIF(E8:L8,"Y")/8</f>
        <v>0.25</v>
      </c>
      <c r="N8" s="9" t="str">
        <f>IF(M8=1,"Complete",IF(M8&gt;=0.5,"In progress","Just started"))</f>
        <v>Just started</v>
      </c>
      <c r="O8" s="24">
        <f>IF(M8=1,"",AsOfDate-D8)</f>
        <v>8</v>
      </c>
      <c r="P8" s="9" t="str">
        <f>IF(E8&lt;&gt;"Y",E$4,IF(F8&lt;&gt;"Y",F$4,IF(G8&lt;&gt;"Y",G$4,IF(H8&lt;&gt;"Y",H$4,IF(I8&lt;&gt;"Y",I$4,IF(J8&lt;&gt;"Y",J$4,IF(K8&lt;&gt;"Y",K$4,IF(L8&lt;&gt;"Y",L$4,"All done"))))))))</f>
        <v>Engagement letter signed</v>
      </c>
    </row>
    <row r="9" spans="2:16" x14ac:dyDescent="0.25">
      <c r="B9" s="8" t="s">
        <v>514</v>
      </c>
      <c r="C9" s="8" t="s">
        <v>785</v>
      </c>
      <c r="D9" s="21">
        <v>46323</v>
      </c>
      <c r="E9" s="8" t="s">
        <v>720</v>
      </c>
      <c r="F9" s="8" t="s">
        <v>720</v>
      </c>
      <c r="G9" s="8" t="s">
        <v>720</v>
      </c>
      <c r="H9" s="8"/>
      <c r="I9" s="8"/>
      <c r="J9" s="8"/>
      <c r="K9" s="8"/>
      <c r="L9" s="8"/>
      <c r="M9" s="30">
        <f>COUNTIF(E9:L9,"Y")/8</f>
        <v>0.375</v>
      </c>
      <c r="N9" s="9" t="str">
        <f>IF(M9=1,"Complete",IF(M9&gt;=0.5,"In progress","Just started"))</f>
        <v>Just started</v>
      </c>
      <c r="O9" s="24">
        <f>IF(M9=1,"",AsOfDate-D9)</f>
        <v>2</v>
      </c>
      <c r="P9" s="9" t="str">
        <f>IF(E9&lt;&gt;"Y",E$4,IF(F9&lt;&gt;"Y",F$4,IF(G9&lt;&gt;"Y",G$4,IF(H9&lt;&gt;"Y",H$4,IF(I9&lt;&gt;"Y",I$4,IF(J9&lt;&gt;"Y",J$4,IF(K9&lt;&gt;"Y",K$4,IF(L9&lt;&gt;"Y",L$4,"All done"))))))))</f>
        <v>CRM record</v>
      </c>
    </row>
    <row r="10" spans="2:16" x14ac:dyDescent="0.25">
      <c r="B10" s="8" t="s">
        <v>585</v>
      </c>
      <c r="C10" s="8" t="s">
        <v>588</v>
      </c>
      <c r="D10" s="21">
        <v>46325</v>
      </c>
      <c r="E10" s="8" t="s">
        <v>720</v>
      </c>
      <c r="F10" s="8"/>
      <c r="G10" s="8"/>
      <c r="H10" s="8"/>
      <c r="I10" s="8"/>
      <c r="J10" s="8"/>
      <c r="K10" s="8"/>
      <c r="L10" s="8"/>
      <c r="M10" s="30">
        <f>COUNTIF(E10:L10,"Y")/8</f>
        <v>0.125</v>
      </c>
      <c r="N10" s="9" t="str">
        <f>IF(M10=1,"Complete",IF(M10&gt;=0.5,"In progress","Just started"))</f>
        <v>Just started</v>
      </c>
      <c r="O10" s="24">
        <f>IF(M10=1,"",AsOfDate-D10)</f>
        <v>0</v>
      </c>
      <c r="P10" s="9" t="str">
        <f>IF(E10&lt;&gt;"Y",E$4,IF(F10&lt;&gt;"Y",F$4,IF(G10&lt;&gt;"Y",G$4,IF(H10&lt;&gt;"Y",H$4,IF(I10&lt;&gt;"Y",I$4,IF(J10&lt;&gt;"Y",J$4,IF(K10&lt;&gt;"Y",K$4,IF(L10&lt;&gt;"Y",L$4,"All done"))))))))</f>
        <v>Engagement letter signed</v>
      </c>
    </row>
  </sheetData>
  <mergeCells count="1">
    <mergeCell ref="B2:O2"/>
  </mergeCells>
  <conditionalFormatting sqref="E5:L10">
    <cfRule type="expression" dxfId="14" priority="1">
      <formula>E5="Y"</formula>
    </cfRule>
  </conditionalFormatting>
  <dataValidations count="2">
    <dataValidation type="list" allowBlank="1" showErrorMessage="1" errorTitle="Pick from the list" error="Please choose one of the options in the drop-down list." sqref="E10:L10">
      <formula1>Lists!$G$2:$G$3</formula1>
    </dataValidation>
    <dataValidation type="list" allowBlank="1" showErrorMessage="1" errorTitle="Pick from the list" error="Please choose one of the options in the drop-down list." sqref="E5:L10">
      <formula1>Lists!$G$2:$G$3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4F"/>
    <pageSetUpPr fitToPage="1"/>
  </sheetPr>
  <dimension ref="B1:K31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12" customWidth="1"/>
    <col min="3" max="3" width="8" customWidth="1"/>
    <col min="4" max="4" width="16" customWidth="1"/>
    <col min="5" max="5" width="46" customWidth="1"/>
    <col min="6" max="6" width="16" customWidth="1"/>
    <col min="7" max="7" width="14" customWidth="1"/>
    <col min="8" max="8" width="11" customWidth="1"/>
    <col min="9" max="9" width="18" customWidth="1"/>
  </cols>
  <sheetData>
    <row r="1" ht="32" customHeight="1" spans="2:2" x14ac:dyDescent="0.25">
      <c r="B1" s="1" t="s">
        <v>786</v>
      </c>
    </row>
    <row r="2" ht="18" customHeight="1" spans="2:11" x14ac:dyDescent="0.25">
      <c r="B2" s="2" t="s">
        <v>787</v>
      </c>
      <c r="C2" s="2"/>
      <c r="D2" s="2"/>
      <c r="E2" s="2"/>
      <c r="F2" s="2"/>
      <c r="G2" s="2"/>
      <c r="H2" s="2"/>
      <c r="I2" s="2"/>
      <c r="J2" s="2"/>
      <c r="K2" s="2"/>
    </row>
    <row r="4" spans="2:5" x14ac:dyDescent="0.25">
      <c r="B4" s="5" t="s">
        <v>788</v>
      </c>
      <c r="C4" s="8" t="s">
        <v>232</v>
      </c>
      <c r="D4" s="8"/>
      <c r="E4" s="8"/>
    </row>
    <row r="5" spans="2:5" x14ac:dyDescent="0.25">
      <c r="B5" s="5" t="s">
        <v>163</v>
      </c>
      <c r="C5" s="8" t="s">
        <v>789</v>
      </c>
      <c r="D5" s="8"/>
      <c r="E5" s="8"/>
    </row>
    <row r="6" spans="2:5" x14ac:dyDescent="0.25">
      <c r="B6" s="5" t="s">
        <v>790</v>
      </c>
      <c r="C6" s="8" t="s">
        <v>791</v>
      </c>
      <c r="D6" s="8"/>
      <c r="E6" s="8"/>
    </row>
    <row r="7" spans="2:5" x14ac:dyDescent="0.25">
      <c r="B7" s="5" t="s">
        <v>792</v>
      </c>
      <c r="C7" s="8" t="s">
        <v>793</v>
      </c>
      <c r="D7" s="8"/>
      <c r="E7" s="8"/>
    </row>
    <row r="10" ht="30" customHeight="1" spans="2:9" x14ac:dyDescent="0.25">
      <c r="B10" s="10" t="s">
        <v>228</v>
      </c>
      <c r="C10" s="10" t="s">
        <v>794</v>
      </c>
      <c r="D10" s="10" t="s">
        <v>84</v>
      </c>
      <c r="E10" s="10" t="s">
        <v>795</v>
      </c>
      <c r="F10" s="10" t="s">
        <v>796</v>
      </c>
      <c r="G10" s="10" t="s">
        <v>797</v>
      </c>
      <c r="H10" s="10" t="s">
        <v>798</v>
      </c>
      <c r="I10" s="10" t="s">
        <v>135</v>
      </c>
    </row>
    <row r="11" spans="2:9" x14ac:dyDescent="0.25">
      <c r="B11" s="21">
        <v>46330</v>
      </c>
      <c r="C11" s="8" t="s">
        <v>799</v>
      </c>
      <c r="D11" s="8" t="s">
        <v>800</v>
      </c>
      <c r="E11" s="8" t="s">
        <v>801</v>
      </c>
      <c r="F11" s="8" t="s">
        <v>802</v>
      </c>
      <c r="G11" s="8" t="s">
        <v>803</v>
      </c>
      <c r="H11" s="35">
        <v>65</v>
      </c>
      <c r="I11" s="8" t="s">
        <v>804</v>
      </c>
    </row>
    <row r="12" spans="2:9" x14ac:dyDescent="0.25">
      <c r="B12" s="21">
        <v>46330</v>
      </c>
      <c r="C12" s="8" t="s">
        <v>805</v>
      </c>
      <c r="D12" s="8" t="s">
        <v>806</v>
      </c>
      <c r="E12" s="8" t="s">
        <v>807</v>
      </c>
      <c r="F12" s="8" t="s">
        <v>808</v>
      </c>
      <c r="G12" s="8" t="s">
        <v>809</v>
      </c>
      <c r="H12" s="35">
        <v>389</v>
      </c>
      <c r="I12" s="8" t="s">
        <v>804</v>
      </c>
    </row>
    <row r="13" spans="2:9" x14ac:dyDescent="0.25">
      <c r="B13" s="21">
        <v>46330</v>
      </c>
      <c r="C13" s="8" t="s">
        <v>810</v>
      </c>
      <c r="D13" s="8" t="s">
        <v>647</v>
      </c>
      <c r="E13" s="8" t="s">
        <v>811</v>
      </c>
      <c r="F13" s="8" t="s">
        <v>812</v>
      </c>
      <c r="G13" s="8" t="s">
        <v>439</v>
      </c>
      <c r="H13" s="35">
        <v>0</v>
      </c>
      <c r="I13" s="8" t="s">
        <v>804</v>
      </c>
    </row>
    <row r="14" spans="2:9" x14ac:dyDescent="0.25">
      <c r="B14" s="21">
        <v>46330</v>
      </c>
      <c r="C14" s="8" t="s">
        <v>813</v>
      </c>
      <c r="D14" s="8" t="s">
        <v>814</v>
      </c>
      <c r="E14" s="8" t="s">
        <v>815</v>
      </c>
      <c r="F14" s="8" t="s">
        <v>816</v>
      </c>
      <c r="G14" s="8" t="s">
        <v>817</v>
      </c>
      <c r="H14" s="35">
        <v>640</v>
      </c>
      <c r="I14" s="8" t="s">
        <v>804</v>
      </c>
    </row>
    <row r="15" spans="2:9" x14ac:dyDescent="0.25">
      <c r="B15" s="21">
        <v>46330</v>
      </c>
      <c r="C15" s="8" t="s">
        <v>818</v>
      </c>
      <c r="D15" s="8" t="s">
        <v>819</v>
      </c>
      <c r="E15" s="8" t="s">
        <v>820</v>
      </c>
      <c r="F15" s="8" t="s">
        <v>821</v>
      </c>
      <c r="G15" s="8" t="s">
        <v>822</v>
      </c>
      <c r="H15" s="35">
        <v>420</v>
      </c>
      <c r="I15" s="8" t="s">
        <v>823</v>
      </c>
    </row>
    <row r="16" spans="2:9" x14ac:dyDescent="0.25">
      <c r="B16" s="21">
        <v>46331</v>
      </c>
      <c r="C16" s="8" t="s">
        <v>824</v>
      </c>
      <c r="D16" s="8" t="s">
        <v>825</v>
      </c>
      <c r="E16" s="8" t="s">
        <v>826</v>
      </c>
      <c r="F16" s="8" t="s">
        <v>827</v>
      </c>
      <c r="G16" s="8" t="s">
        <v>828</v>
      </c>
      <c r="H16" s="35">
        <v>295</v>
      </c>
      <c r="I16" s="8" t="s">
        <v>804</v>
      </c>
    </row>
    <row r="17" spans="2:9" x14ac:dyDescent="0.25">
      <c r="B17" s="21">
        <v>46331</v>
      </c>
      <c r="C17" s="8" t="s">
        <v>829</v>
      </c>
      <c r="D17" s="8" t="s">
        <v>647</v>
      </c>
      <c r="E17" s="8" t="s">
        <v>830</v>
      </c>
      <c r="F17" s="8" t="s">
        <v>812</v>
      </c>
      <c r="G17" s="8" t="s">
        <v>439</v>
      </c>
      <c r="H17" s="35">
        <v>0</v>
      </c>
      <c r="I17" s="8" t="s">
        <v>831</v>
      </c>
    </row>
    <row r="18" spans="2:9" x14ac:dyDescent="0.25">
      <c r="B18" s="21">
        <v>46332</v>
      </c>
      <c r="C18" s="8" t="s">
        <v>832</v>
      </c>
      <c r="D18" s="8" t="s">
        <v>647</v>
      </c>
      <c r="E18" s="8" t="s">
        <v>833</v>
      </c>
      <c r="F18" s="8" t="s">
        <v>834</v>
      </c>
      <c r="G18" s="8" t="s">
        <v>439</v>
      </c>
      <c r="H18" s="35">
        <v>30</v>
      </c>
      <c r="I18" s="8" t="s">
        <v>804</v>
      </c>
    </row>
    <row r="19" spans="2:9" x14ac:dyDescent="0.25">
      <c r="B19" s="21">
        <v>46332</v>
      </c>
      <c r="C19" s="8" t="s">
        <v>835</v>
      </c>
      <c r="D19" s="8" t="s">
        <v>800</v>
      </c>
      <c r="E19" s="8" t="s">
        <v>836</v>
      </c>
      <c r="F19" s="8" t="s">
        <v>837</v>
      </c>
      <c r="G19" s="8" t="s">
        <v>439</v>
      </c>
      <c r="H19" s="35">
        <v>55</v>
      </c>
      <c r="I19" s="8" t="s">
        <v>831</v>
      </c>
    </row>
    <row r="20" spans="2:9" x14ac:dyDescent="0.25">
      <c r="B20" s="21">
        <v>46332</v>
      </c>
      <c r="C20" s="8" t="s">
        <v>838</v>
      </c>
      <c r="D20" s="8" t="s">
        <v>806</v>
      </c>
      <c r="E20" s="8" t="s">
        <v>839</v>
      </c>
      <c r="F20" s="8" t="s">
        <v>808</v>
      </c>
      <c r="G20" s="8" t="s">
        <v>809</v>
      </c>
      <c r="H20" s="35">
        <v>0</v>
      </c>
      <c r="I20" s="8" t="s">
        <v>804</v>
      </c>
    </row>
    <row r="23" spans="2:6" x14ac:dyDescent="0.25">
      <c r="B23" s="4" t="s">
        <v>840</v>
      </c>
      <c r="C23" s="4"/>
      <c r="D23" s="4"/>
      <c r="E23" s="4"/>
      <c r="F23" s="4"/>
    </row>
    <row r="24" ht="20" customHeight="1" spans="2:6" x14ac:dyDescent="0.25">
      <c r="B24" s="10" t="s">
        <v>128</v>
      </c>
      <c r="C24" s="10" t="s">
        <v>841</v>
      </c>
      <c r="D24" s="10" t="s">
        <v>842</v>
      </c>
      <c r="E24" s="10" t="s">
        <v>843</v>
      </c>
      <c r="F24" s="10" t="s">
        <v>844</v>
      </c>
    </row>
    <row r="25" spans="2:6" x14ac:dyDescent="0.25">
      <c r="B25" s="8" t="s">
        <v>806</v>
      </c>
      <c r="C25" s="35">
        <v>450</v>
      </c>
      <c r="D25" s="36">
        <f>SUMIFS($H$11:$H$20,$D$11:$D$20,B25)</f>
        <v>389</v>
      </c>
      <c r="E25" s="36">
        <f>C25-D25</f>
        <v>61</v>
      </c>
      <c r="F25" s="9" t="str">
        <f>IF(E25&lt;0,"Over budget","Within budget")</f>
        <v>Within budget</v>
      </c>
    </row>
    <row r="26" spans="2:6" x14ac:dyDescent="0.25">
      <c r="B26" s="8" t="s">
        <v>814</v>
      </c>
      <c r="C26" s="35">
        <v>700</v>
      </c>
      <c r="D26" s="36">
        <f>SUMIFS($H$11:$H$20,$D$11:$D$20,B26)</f>
        <v>640</v>
      </c>
      <c r="E26" s="36">
        <f>C26-D26</f>
        <v>60</v>
      </c>
      <c r="F26" s="9" t="str">
        <f>IF(E26&lt;0,"Over budget","Within budget")</f>
        <v>Within budget</v>
      </c>
    </row>
    <row r="27" spans="2:6" x14ac:dyDescent="0.25">
      <c r="B27" s="8" t="s">
        <v>800</v>
      </c>
      <c r="C27" s="35">
        <v>150</v>
      </c>
      <c r="D27" s="36">
        <f>SUMIFS($H$11:$H$20,$D$11:$D$20,B27)</f>
        <v>120</v>
      </c>
      <c r="E27" s="36">
        <f>C27-D27</f>
        <v>30</v>
      </c>
      <c r="F27" s="9" t="str">
        <f>IF(E27&lt;0,"Over budget","Within budget")</f>
        <v>Within budget</v>
      </c>
    </row>
    <row r="28" spans="2:6" x14ac:dyDescent="0.25">
      <c r="B28" s="8" t="s">
        <v>647</v>
      </c>
      <c r="C28" s="35">
        <v>50</v>
      </c>
      <c r="D28" s="36">
        <f>SUMIFS($H$11:$H$20,$D$11:$D$20,B28)</f>
        <v>30</v>
      </c>
      <c r="E28" s="36">
        <f>C28-D28</f>
        <v>20</v>
      </c>
      <c r="F28" s="9" t="str">
        <f>IF(E28&lt;0,"Over budget","Within budget")</f>
        <v>Within budget</v>
      </c>
    </row>
    <row r="29" spans="2:6" x14ac:dyDescent="0.25">
      <c r="B29" s="8" t="s">
        <v>819</v>
      </c>
      <c r="C29" s="35">
        <v>450</v>
      </c>
      <c r="D29" s="36">
        <f>SUMIFS($H$11:$H$20,$D$11:$D$20,B29)</f>
        <v>420</v>
      </c>
      <c r="E29" s="36">
        <f>C29-D29</f>
        <v>30</v>
      </c>
      <c r="F29" s="9" t="str">
        <f>IF(E29&lt;0,"Over budget","Within budget")</f>
        <v>Within budget</v>
      </c>
    </row>
    <row r="30" spans="2:6" x14ac:dyDescent="0.25">
      <c r="B30" s="8" t="s">
        <v>825</v>
      </c>
      <c r="C30" s="35">
        <v>300</v>
      </c>
      <c r="D30" s="36">
        <f>SUMIFS($H$11:$H$20,$D$11:$D$20,B30)</f>
        <v>295</v>
      </c>
      <c r="E30" s="36">
        <f>C30-D30</f>
        <v>5</v>
      </c>
      <c r="F30" s="9" t="str">
        <f>IF(E30&lt;0,"Over budget","Within budget")</f>
        <v>Within budget</v>
      </c>
    </row>
    <row r="31" spans="2:6" x14ac:dyDescent="0.25">
      <c r="B31" s="31" t="s">
        <v>643</v>
      </c>
      <c r="C31" s="37">
        <f>SUM(C25:C30)</f>
        <v>2100</v>
      </c>
      <c r="D31" s="37">
        <f>SUM(D25:D30)</f>
        <v>1894</v>
      </c>
      <c r="E31" s="37">
        <f>SUM(E25:E30)</f>
        <v>206</v>
      </c>
      <c r="F31" s="31" t="str">
        <f>COUNTIF($I$11:$I$20,"&lt;&gt;Booked")&amp;" items still to confirm"</f>
        <v>3 items still to confirm</v>
      </c>
    </row>
  </sheetData>
  <mergeCells count="6">
    <mergeCell ref="B2:K2"/>
    <mergeCell ref="C4:E4"/>
    <mergeCell ref="C5:E5"/>
    <mergeCell ref="C6:E6"/>
    <mergeCell ref="C7:E7"/>
    <mergeCell ref="B23:F23"/>
  </mergeCells>
  <conditionalFormatting sqref="I11:I20">
    <cfRule type="expression" dxfId="15" priority="1">
      <formula>I11&lt;&gt;"Booked"</formula>
    </cfRule>
  </conditionalFormatting>
  <dataValidations count="2">
    <dataValidation type="list" allowBlank="1" showErrorMessage="1" errorTitle="Pick from the list" error="Please choose one of the options in the drop-down list." sqref="D11:D20">
      <formula1>Lists!$H$2:$H$7</formula1>
    </dataValidation>
    <dataValidation type="list" allowBlank="1" showErrorMessage="1" errorTitle="Pick from the list" error="Please choose one of the options in the drop-down list." sqref="I11:I20">
      <formula1>Lists!$K$2:$K$5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5A80"/>
    <pageSetUpPr fitToPage="1"/>
  </sheetPr>
  <dimension ref="B1:E15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24" customWidth="1"/>
    <col min="3" max="3" width="90" customWidth="1"/>
  </cols>
  <sheetData>
    <row r="1" ht="32" customHeight="1" spans="2:2" x14ac:dyDescent="0.25">
      <c r="B1" s="1" t="s">
        <v>845</v>
      </c>
    </row>
    <row r="2" ht="18" customHeight="1" spans="2:5" x14ac:dyDescent="0.25">
      <c r="B2" s="2" t="s">
        <v>846</v>
      </c>
      <c r="C2" s="2"/>
      <c r="D2" s="2"/>
      <c r="E2" s="2"/>
    </row>
    <row r="4" ht="19" customHeight="1" spans="2:3" x14ac:dyDescent="0.25">
      <c r="B4" s="5" t="s">
        <v>415</v>
      </c>
      <c r="C4" s="8" t="s">
        <v>325</v>
      </c>
    </row>
    <row r="5" ht="18" customHeight="1" spans="2:3" x14ac:dyDescent="0.25">
      <c r="B5" s="5" t="s">
        <v>847</v>
      </c>
      <c r="C5" s="40">
        <v>46307</v>
      </c>
    </row>
    <row r="6" ht="18" customHeight="1" spans="2:3" x14ac:dyDescent="0.25">
      <c r="B6" s="5" t="s">
        <v>848</v>
      </c>
      <c r="C6" s="40">
        <v>46318</v>
      </c>
    </row>
    <row r="7" ht="34" customHeight="1" spans="2:3" x14ac:dyDescent="0.25">
      <c r="B7" s="5" t="s">
        <v>849</v>
      </c>
      <c r="C7" s="8" t="s">
        <v>850</v>
      </c>
    </row>
    <row r="8" ht="34" customHeight="1" spans="2:3" x14ac:dyDescent="0.25">
      <c r="B8" s="5" t="s">
        <v>851</v>
      </c>
      <c r="C8" s="8" t="s">
        <v>852</v>
      </c>
    </row>
    <row r="9" ht="49" customHeight="1" spans="2:3" x14ac:dyDescent="0.25">
      <c r="B9" s="5" t="s">
        <v>853</v>
      </c>
      <c r="C9" s="8" t="s">
        <v>854</v>
      </c>
    </row>
    <row r="10" ht="34" customHeight="1" spans="2:3" x14ac:dyDescent="0.25">
      <c r="B10" s="5" t="s">
        <v>855</v>
      </c>
      <c r="C10" s="8" t="s">
        <v>856</v>
      </c>
    </row>
    <row r="11" spans="2:3" x14ac:dyDescent="0.25">
      <c r="B11" s="5" t="s">
        <v>857</v>
      </c>
      <c r="C11" s="41" t="str">
        <f>'Tool Evaluation'!$C$16&amp;" (weighted score "&amp;ROUND('Tool Evaluation'!$C$17,2)&amp;" out of 5)"</f>
        <v>ClickUp (weighted score 4.15 out of 5)</v>
      </c>
    </row>
    <row r="12" ht="32" customHeight="1" spans="2:3" x14ac:dyDescent="0.25">
      <c r="B12" s="5" t="s">
        <v>858</v>
      </c>
      <c r="C12" s="9" t="str">
        <f>"Trial "&amp;'Tool Evaluation'!$C$16&amp;" with the operations team for 14 days using one live client project, then confirm pricing for 12 users before committing. Runner-up options and full scoring are in the Tool Evaluation tab."</f>
        <v>Trial ClickUp with the operations team for 14 days using one live client project, then confirm pricing for 12 users before committing. Runner-up options and full scoring are in the Tool Evaluation tab.</v>
      </c>
    </row>
    <row r="13" ht="34" customHeight="1" spans="2:3" x14ac:dyDescent="0.25">
      <c r="B13" s="5" t="s">
        <v>859</v>
      </c>
      <c r="C13" s="8" t="s">
        <v>860</v>
      </c>
    </row>
    <row r="14" ht="19" customHeight="1" spans="2:3" x14ac:dyDescent="0.25">
      <c r="B14" s="5" t="s">
        <v>861</v>
      </c>
      <c r="C14" s="8" t="s">
        <v>862</v>
      </c>
    </row>
    <row r="15" ht="19" customHeight="1" spans="2:3" x14ac:dyDescent="0.25">
      <c r="B15" s="5" t="s">
        <v>135</v>
      </c>
      <c r="C15" s="8" t="s">
        <v>863</v>
      </c>
    </row>
  </sheetData>
  <mergeCells count="1">
    <mergeCell ref="B2:E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5A80"/>
    <pageSetUpPr fitToPage="1"/>
  </sheetPr>
  <dimension ref="B1:J19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46" customWidth="1"/>
    <col min="4" max="8" width="13" customWidth="1"/>
  </cols>
  <sheetData>
    <row r="1" ht="32" customHeight="1" spans="2:2" x14ac:dyDescent="0.25">
      <c r="B1" s="1" t="s">
        <v>864</v>
      </c>
    </row>
    <row r="2" ht="18" customHeight="1" spans="2:10" x14ac:dyDescent="0.25">
      <c r="B2" s="2" t="s">
        <v>865</v>
      </c>
      <c r="C2" s="2"/>
      <c r="D2" s="2"/>
      <c r="E2" s="2"/>
      <c r="F2" s="2"/>
      <c r="G2" s="2"/>
      <c r="H2" s="2"/>
      <c r="I2" s="2"/>
      <c r="J2" s="2"/>
    </row>
    <row r="4" spans="2:8" x14ac:dyDescent="0.25">
      <c r="B4" s="7" t="s">
        <v>866</v>
      </c>
      <c r="C4" s="7"/>
      <c r="D4" s="7"/>
      <c r="E4" s="7"/>
      <c r="F4" s="7"/>
      <c r="G4" s="7"/>
      <c r="H4" s="7"/>
    </row>
    <row r="5" ht="30" customHeight="1" spans="2:8" x14ac:dyDescent="0.25">
      <c r="B5" s="10" t="s">
        <v>867</v>
      </c>
      <c r="C5" s="10" t="s">
        <v>868</v>
      </c>
      <c r="D5" s="10" t="s">
        <v>869</v>
      </c>
      <c r="E5" s="10" t="s">
        <v>870</v>
      </c>
      <c r="F5" s="10" t="s">
        <v>871</v>
      </c>
      <c r="G5" s="10" t="s">
        <v>872</v>
      </c>
      <c r="H5" s="10" t="s">
        <v>873</v>
      </c>
    </row>
    <row r="6" spans="2:8" x14ac:dyDescent="0.25">
      <c r="B6" s="8" t="s">
        <v>874</v>
      </c>
      <c r="C6" s="27">
        <v>0.2</v>
      </c>
      <c r="D6" s="22">
        <v>4</v>
      </c>
      <c r="E6" s="22">
        <v>3</v>
      </c>
      <c r="F6" s="22">
        <v>5</v>
      </c>
      <c r="G6" s="22">
        <v>3</v>
      </c>
      <c r="H6" s="22">
        <v>5</v>
      </c>
    </row>
    <row r="7" spans="2:8" x14ac:dyDescent="0.25">
      <c r="B7" s="8" t="s">
        <v>875</v>
      </c>
      <c r="C7" s="27">
        <v>0.2</v>
      </c>
      <c r="D7" s="22">
        <v>4</v>
      </c>
      <c r="E7" s="22">
        <v>5</v>
      </c>
      <c r="F7" s="22">
        <v>3</v>
      </c>
      <c r="G7" s="22">
        <v>3</v>
      </c>
      <c r="H7" s="22">
        <v>2</v>
      </c>
    </row>
    <row r="8" spans="2:8" x14ac:dyDescent="0.25">
      <c r="B8" s="8" t="s">
        <v>876</v>
      </c>
      <c r="C8" s="27">
        <v>0.15</v>
      </c>
      <c r="D8" s="22">
        <v>4</v>
      </c>
      <c r="E8" s="22">
        <v>5</v>
      </c>
      <c r="F8" s="22">
        <v>5</v>
      </c>
      <c r="G8" s="22">
        <v>4</v>
      </c>
      <c r="H8" s="22">
        <v>3</v>
      </c>
    </row>
    <row r="9" spans="2:8" x14ac:dyDescent="0.25">
      <c r="B9" s="8" t="s">
        <v>877</v>
      </c>
      <c r="C9" s="27">
        <v>0.15</v>
      </c>
      <c r="D9" s="22">
        <v>2</v>
      </c>
      <c r="E9" s="22">
        <v>4</v>
      </c>
      <c r="F9" s="22">
        <v>2</v>
      </c>
      <c r="G9" s="22">
        <v>5</v>
      </c>
      <c r="H9" s="22">
        <v>2</v>
      </c>
    </row>
    <row r="10" spans="2:8" x14ac:dyDescent="0.25">
      <c r="B10" s="8" t="s">
        <v>878</v>
      </c>
      <c r="C10" s="27">
        <v>0.1</v>
      </c>
      <c r="D10" s="22">
        <v>4</v>
      </c>
      <c r="E10" s="22">
        <v>4</v>
      </c>
      <c r="F10" s="22">
        <v>4</v>
      </c>
      <c r="G10" s="22">
        <v>3</v>
      </c>
      <c r="H10" s="22">
        <v>3</v>
      </c>
    </row>
    <row r="11" spans="2:8" x14ac:dyDescent="0.25">
      <c r="B11" s="8" t="s">
        <v>879</v>
      </c>
      <c r="C11" s="27">
        <v>0.1</v>
      </c>
      <c r="D11" s="22">
        <v>4</v>
      </c>
      <c r="E11" s="22">
        <v>4</v>
      </c>
      <c r="F11" s="22">
        <v>4</v>
      </c>
      <c r="G11" s="22">
        <v>3</v>
      </c>
      <c r="H11" s="22">
        <v>3</v>
      </c>
    </row>
    <row r="12" spans="2:8" x14ac:dyDescent="0.25">
      <c r="B12" s="8" t="s">
        <v>880</v>
      </c>
      <c r="C12" s="27">
        <v>0.1</v>
      </c>
      <c r="D12" s="22">
        <v>4</v>
      </c>
      <c r="E12" s="22">
        <v>4</v>
      </c>
      <c r="F12" s="22">
        <v>5</v>
      </c>
      <c r="G12" s="22">
        <v>2</v>
      </c>
      <c r="H12" s="22">
        <v>2</v>
      </c>
    </row>
    <row r="13" spans="2:8" x14ac:dyDescent="0.25">
      <c r="B13" s="31" t="s">
        <v>881</v>
      </c>
      <c r="C13" s="34">
        <f>SUM(C6:C12)</f>
        <v>1</v>
      </c>
      <c r="D13" s="42">
        <f>SUMPRODUCT($C$6:$C$12,D6:D12)</f>
        <v>3.7</v>
      </c>
      <c r="E13" s="42">
        <f>SUMPRODUCT($C$6:$C$12,E6:E12)</f>
        <v>4.15</v>
      </c>
      <c r="F13" s="42">
        <f>SUMPRODUCT($C$6:$C$12,F6:F12)</f>
        <v>3.95</v>
      </c>
      <c r="G13" s="42">
        <f>SUMPRODUCT($C$6:$C$12,G6:G12)</f>
        <v>3.35</v>
      </c>
      <c r="H13" s="42">
        <f>SUMPRODUCT($C$6:$C$12,H6:H12)</f>
        <v>2.95</v>
      </c>
    </row>
    <row r="14" spans="2:8" x14ac:dyDescent="0.25">
      <c r="B14" s="5" t="s">
        <v>882</v>
      </c>
      <c r="C14" s="9" t="str">
        <f>IF(ABS(C13-1)&lt;0.0001,"Weights OK","Weights must total 100%")</f>
        <v>Weights OK</v>
      </c>
      <c r="D14" s="43">
        <f>COUNTIF($D$13:$H$13,"&gt;"&amp;D13)+1</f>
        <v>3</v>
      </c>
      <c r="E14" s="43">
        <f>COUNTIF($D$13:$H$13,"&gt;"&amp;E13)+1</f>
        <v>1</v>
      </c>
      <c r="F14" s="43">
        <f>COUNTIF($D$13:$H$13,"&gt;"&amp;F13)+1</f>
        <v>2</v>
      </c>
      <c r="G14" s="43">
        <f>COUNTIF($D$13:$H$13,"&gt;"&amp;G13)+1</f>
        <v>4</v>
      </c>
      <c r="H14" s="43">
        <f>COUNTIF($D$13:$H$13,"&gt;"&amp;H13)+1</f>
        <v>5</v>
      </c>
    </row>
    <row r="16" spans="2:4" x14ac:dyDescent="0.25">
      <c r="B16" s="5" t="s">
        <v>883</v>
      </c>
      <c r="C16" s="41" t="str">
        <f>INDEX($D$5:$H$5,1,MATCH(MAX($D$13:$H$13),$D$13:$H$13,0))</f>
        <v>ClickUp</v>
      </c>
      <c r="D16" s="41"/>
    </row>
    <row r="17" spans="2:3" x14ac:dyDescent="0.25">
      <c r="B17" s="5" t="s">
        <v>884</v>
      </c>
      <c r="C17" s="44">
        <f>MAX($D$13:$H$13)</f>
        <v>4.15</v>
      </c>
    </row>
    <row r="19" ht="30" customHeight="1" spans="2:8" x14ac:dyDescent="0.25">
      <c r="B19" s="7" t="s">
        <v>885</v>
      </c>
      <c r="C19" s="7"/>
      <c r="D19" s="7"/>
      <c r="E19" s="7"/>
      <c r="F19" s="7"/>
      <c r="G19" s="7"/>
      <c r="H19" s="7"/>
    </row>
  </sheetData>
  <mergeCells count="4">
    <mergeCell ref="B2:J2"/>
    <mergeCell ref="B4:H4"/>
    <mergeCell ref="C16:D16"/>
    <mergeCell ref="B19:H19"/>
  </mergeCells>
  <conditionalFormatting sqref="D13:H13">
    <cfRule type="expression" dxfId="16" priority="1">
      <formula>D13=MAX($D$13:$H$13)</formula>
    </cfRule>
  </conditionalFormatting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4E71"/>
    <pageSetUpPr fitToPage="1"/>
  </sheetPr>
  <dimension ref="B1:I37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6" customWidth="1"/>
    <col min="3" max="3" width="28" customWidth="1"/>
    <col min="4" max="4" width="44" customWidth="1"/>
    <col min="5" max="5" width="20" customWidth="1"/>
    <col min="6" max="6" width="16" customWidth="1"/>
    <col min="7" max="7" width="18" customWidth="1"/>
    <col min="8" max="8" width="22" customWidth="1"/>
  </cols>
  <sheetData>
    <row r="1" ht="32" customHeight="1" spans="2:2" x14ac:dyDescent="0.25">
      <c r="B1" s="1" t="s">
        <v>56</v>
      </c>
    </row>
    <row r="2" ht="18" customHeight="1" spans="2:9" x14ac:dyDescent="0.25">
      <c r="B2" s="2" t="s">
        <v>886</v>
      </c>
      <c r="C2" s="2"/>
      <c r="D2" s="2"/>
      <c r="E2" s="2"/>
      <c r="F2" s="2"/>
      <c r="G2" s="2"/>
      <c r="H2" s="2"/>
      <c r="I2" s="2"/>
    </row>
    <row r="4" spans="2:8" x14ac:dyDescent="0.25">
      <c r="B4" s="4" t="s">
        <v>887</v>
      </c>
      <c r="C4" s="4"/>
      <c r="D4" s="4"/>
      <c r="E4" s="4"/>
      <c r="F4" s="4"/>
      <c r="G4" s="4"/>
      <c r="H4" s="4"/>
    </row>
    <row r="5" ht="20" customHeight="1" spans="2:8" x14ac:dyDescent="0.25">
      <c r="B5" s="10" t="s">
        <v>175</v>
      </c>
      <c r="C5" s="10" t="s">
        <v>888</v>
      </c>
      <c r="D5" s="10" t="s">
        <v>177</v>
      </c>
      <c r="E5" s="10" t="s">
        <v>179</v>
      </c>
      <c r="F5" s="10" t="s">
        <v>129</v>
      </c>
      <c r="G5" s="10" t="s">
        <v>172</v>
      </c>
      <c r="H5" s="10" t="s">
        <v>889</v>
      </c>
    </row>
    <row r="6" spans="2:8" x14ac:dyDescent="0.25">
      <c r="B6" s="25">
        <f>ROW()-5</f>
        <v>1</v>
      </c>
      <c r="C6" s="8" t="s">
        <v>890</v>
      </c>
      <c r="D6" s="8" t="s">
        <v>891</v>
      </c>
      <c r="E6" s="8" t="s">
        <v>306</v>
      </c>
      <c r="F6" s="8" t="s">
        <v>892</v>
      </c>
      <c r="G6" s="8" t="s">
        <v>893</v>
      </c>
      <c r="H6" s="8" t="s">
        <v>894</v>
      </c>
    </row>
    <row r="7" spans="2:8" x14ac:dyDescent="0.25">
      <c r="B7" s="25">
        <f>ROW()-5</f>
        <v>2</v>
      </c>
      <c r="C7" s="8" t="s">
        <v>895</v>
      </c>
      <c r="D7" s="8" t="s">
        <v>896</v>
      </c>
      <c r="E7" s="8" t="s">
        <v>338</v>
      </c>
      <c r="F7" s="8" t="s">
        <v>892</v>
      </c>
      <c r="G7" s="8" t="s">
        <v>897</v>
      </c>
      <c r="H7" s="8" t="s">
        <v>898</v>
      </c>
    </row>
    <row r="8" spans="2:8" x14ac:dyDescent="0.25">
      <c r="B8" s="25">
        <f>ROW()-5</f>
        <v>3</v>
      </c>
      <c r="C8" s="8" t="s">
        <v>899</v>
      </c>
      <c r="D8" s="8" t="s">
        <v>900</v>
      </c>
      <c r="E8" s="8" t="s">
        <v>901</v>
      </c>
      <c r="F8" s="8" t="s">
        <v>892</v>
      </c>
      <c r="G8" s="8" t="s">
        <v>902</v>
      </c>
      <c r="H8" s="8" t="s">
        <v>903</v>
      </c>
    </row>
    <row r="9" spans="2:8" x14ac:dyDescent="0.25">
      <c r="B9" s="25">
        <f>ROW()-5</f>
        <v>4</v>
      </c>
      <c r="C9" s="8" t="s">
        <v>904</v>
      </c>
      <c r="D9" s="8" t="s">
        <v>905</v>
      </c>
      <c r="E9" s="8" t="s">
        <v>906</v>
      </c>
      <c r="F9" s="8" t="s">
        <v>892</v>
      </c>
      <c r="G9" s="8" t="s">
        <v>902</v>
      </c>
      <c r="H9" s="8" t="s">
        <v>907</v>
      </c>
    </row>
    <row r="10" spans="2:8" x14ac:dyDescent="0.25">
      <c r="B10" s="25">
        <f>ROW()-5</f>
        <v>5</v>
      </c>
      <c r="C10" s="8" t="s">
        <v>908</v>
      </c>
      <c r="D10" s="8" t="s">
        <v>909</v>
      </c>
      <c r="E10" s="8" t="s">
        <v>39</v>
      </c>
      <c r="F10" s="8" t="s">
        <v>910</v>
      </c>
      <c r="G10" s="8" t="s">
        <v>911</v>
      </c>
      <c r="H10" s="8" t="s">
        <v>912</v>
      </c>
    </row>
    <row r="13" spans="2:8" x14ac:dyDescent="0.25">
      <c r="B13" s="4" t="s">
        <v>913</v>
      </c>
      <c r="C13" s="4"/>
      <c r="D13" s="4"/>
      <c r="E13" s="4"/>
      <c r="F13" s="4"/>
      <c r="G13" s="4"/>
      <c r="H13" s="4"/>
    </row>
    <row r="14" ht="20" customHeight="1" spans="2:8" x14ac:dyDescent="0.25">
      <c r="B14" s="10" t="s">
        <v>175</v>
      </c>
      <c r="C14" s="10" t="s">
        <v>888</v>
      </c>
      <c r="D14" s="10" t="s">
        <v>177</v>
      </c>
      <c r="E14" s="10" t="s">
        <v>179</v>
      </c>
      <c r="F14" s="10" t="s">
        <v>129</v>
      </c>
      <c r="G14" s="10" t="s">
        <v>172</v>
      </c>
      <c r="H14" s="10" t="s">
        <v>889</v>
      </c>
    </row>
    <row r="15" spans="2:8" x14ac:dyDescent="0.25">
      <c r="B15" s="25">
        <f>ROW()-14</f>
        <v>1</v>
      </c>
      <c r="C15" s="8" t="s">
        <v>914</v>
      </c>
      <c r="D15" s="8" t="s">
        <v>915</v>
      </c>
      <c r="E15" s="8" t="s">
        <v>302</v>
      </c>
      <c r="F15" s="8" t="s">
        <v>892</v>
      </c>
      <c r="G15" s="8" t="s">
        <v>916</v>
      </c>
      <c r="H15" s="8" t="s">
        <v>917</v>
      </c>
    </row>
    <row r="16" spans="2:8" x14ac:dyDescent="0.25">
      <c r="B16" s="25">
        <f>ROW()-14</f>
        <v>2</v>
      </c>
      <c r="C16" s="8" t="s">
        <v>918</v>
      </c>
      <c r="D16" s="8" t="s">
        <v>919</v>
      </c>
      <c r="E16" s="8" t="s">
        <v>302</v>
      </c>
      <c r="F16" s="8" t="s">
        <v>892</v>
      </c>
      <c r="G16" s="8" t="s">
        <v>902</v>
      </c>
      <c r="H16" s="8" t="s">
        <v>920</v>
      </c>
    </row>
    <row r="17" spans="2:8" x14ac:dyDescent="0.25">
      <c r="B17" s="25">
        <f>ROW()-14</f>
        <v>3</v>
      </c>
      <c r="C17" s="8" t="s">
        <v>920</v>
      </c>
      <c r="D17" s="8" t="s">
        <v>921</v>
      </c>
      <c r="E17" s="8" t="s">
        <v>302</v>
      </c>
      <c r="F17" s="8" t="s">
        <v>922</v>
      </c>
      <c r="G17" s="8" t="s">
        <v>902</v>
      </c>
      <c r="H17" s="8" t="s">
        <v>923</v>
      </c>
    </row>
    <row r="18" spans="2:8" x14ac:dyDescent="0.25">
      <c r="B18" s="25">
        <f>ROW()-14</f>
        <v>4</v>
      </c>
      <c r="C18" s="8" t="s">
        <v>924</v>
      </c>
      <c r="D18" s="8" t="s">
        <v>925</v>
      </c>
      <c r="E18" s="8" t="s">
        <v>901</v>
      </c>
      <c r="F18" s="8" t="s">
        <v>926</v>
      </c>
      <c r="G18" s="8" t="s">
        <v>927</v>
      </c>
      <c r="H18" s="8" t="s">
        <v>928</v>
      </c>
    </row>
    <row r="19" spans="2:8" x14ac:dyDescent="0.25">
      <c r="B19" s="25">
        <f>ROW()-14</f>
        <v>5</v>
      </c>
      <c r="C19" s="8" t="s">
        <v>929</v>
      </c>
      <c r="D19" s="8" t="s">
        <v>930</v>
      </c>
      <c r="E19" s="8" t="s">
        <v>931</v>
      </c>
      <c r="F19" s="8" t="s">
        <v>892</v>
      </c>
      <c r="G19" s="8" t="s">
        <v>932</v>
      </c>
      <c r="H19" s="8" t="s">
        <v>933</v>
      </c>
    </row>
    <row r="22" spans="2:8" x14ac:dyDescent="0.25">
      <c r="B22" s="4" t="s">
        <v>934</v>
      </c>
      <c r="C22" s="4"/>
      <c r="D22" s="4"/>
      <c r="E22" s="4"/>
      <c r="F22" s="4"/>
      <c r="G22" s="4"/>
      <c r="H22" s="4"/>
    </row>
    <row r="23" ht="20" customHeight="1" spans="2:8" x14ac:dyDescent="0.25">
      <c r="B23" s="10" t="s">
        <v>175</v>
      </c>
      <c r="C23" s="10" t="s">
        <v>888</v>
      </c>
      <c r="D23" s="10" t="s">
        <v>177</v>
      </c>
      <c r="E23" s="10" t="s">
        <v>179</v>
      </c>
      <c r="F23" s="10" t="s">
        <v>129</v>
      </c>
      <c r="G23" s="10" t="s">
        <v>172</v>
      </c>
      <c r="H23" s="10" t="s">
        <v>889</v>
      </c>
    </row>
    <row r="24" spans="2:8" x14ac:dyDescent="0.25">
      <c r="B24" s="25">
        <f>ROW()-23</f>
        <v>1</v>
      </c>
      <c r="C24" s="8" t="s">
        <v>935</v>
      </c>
      <c r="D24" s="8" t="s">
        <v>936</v>
      </c>
      <c r="E24" s="8" t="s">
        <v>244</v>
      </c>
      <c r="F24" s="8" t="s">
        <v>892</v>
      </c>
      <c r="G24" s="8" t="s">
        <v>937</v>
      </c>
      <c r="H24" s="8" t="s">
        <v>250</v>
      </c>
    </row>
    <row r="25" spans="2:8" x14ac:dyDescent="0.25">
      <c r="B25" s="25">
        <f>ROW()-23</f>
        <v>2</v>
      </c>
      <c r="C25" s="8" t="s">
        <v>938</v>
      </c>
      <c r="D25" s="8" t="s">
        <v>939</v>
      </c>
      <c r="E25" s="8" t="s">
        <v>253</v>
      </c>
      <c r="F25" s="8" t="s">
        <v>892</v>
      </c>
      <c r="G25" s="8" t="s">
        <v>940</v>
      </c>
      <c r="H25" s="8" t="s">
        <v>941</v>
      </c>
    </row>
    <row r="26" spans="2:8" x14ac:dyDescent="0.25">
      <c r="B26" s="25">
        <f>ROW()-23</f>
        <v>3</v>
      </c>
      <c r="C26" s="8" t="s">
        <v>942</v>
      </c>
      <c r="D26" s="8" t="s">
        <v>943</v>
      </c>
      <c r="E26" s="8" t="s">
        <v>262</v>
      </c>
      <c r="F26" s="8" t="s">
        <v>892</v>
      </c>
      <c r="G26" s="8" t="s">
        <v>944</v>
      </c>
      <c r="H26" s="8" t="s">
        <v>422</v>
      </c>
    </row>
    <row r="27" spans="2:8" x14ac:dyDescent="0.25">
      <c r="B27" s="25">
        <f>ROW()-23</f>
        <v>4</v>
      </c>
      <c r="C27" s="8" t="s">
        <v>263</v>
      </c>
      <c r="D27" s="8" t="s">
        <v>945</v>
      </c>
      <c r="E27" s="8" t="s">
        <v>946</v>
      </c>
      <c r="F27" s="8" t="s">
        <v>892</v>
      </c>
      <c r="G27" s="8" t="s">
        <v>947</v>
      </c>
      <c r="H27" s="8" t="s">
        <v>268</v>
      </c>
    </row>
    <row r="28" spans="2:8" x14ac:dyDescent="0.25">
      <c r="B28" s="25">
        <f>ROW()-23</f>
        <v>5</v>
      </c>
      <c r="C28" s="8" t="s">
        <v>948</v>
      </c>
      <c r="D28" s="8" t="s">
        <v>949</v>
      </c>
      <c r="E28" s="8" t="s">
        <v>950</v>
      </c>
      <c r="F28" s="8" t="s">
        <v>892</v>
      </c>
      <c r="G28" s="8" t="s">
        <v>951</v>
      </c>
      <c r="H28" s="8" t="s">
        <v>952</v>
      </c>
    </row>
    <row r="31" spans="2:8" x14ac:dyDescent="0.25">
      <c r="B31" s="4" t="s">
        <v>953</v>
      </c>
      <c r="C31" s="4"/>
      <c r="D31" s="4"/>
      <c r="E31" s="4"/>
      <c r="F31" s="4"/>
      <c r="G31" s="4"/>
      <c r="H31" s="4"/>
    </row>
    <row r="32" ht="20" customHeight="1" spans="2:8" x14ac:dyDescent="0.25">
      <c r="B32" s="10" t="s">
        <v>175</v>
      </c>
      <c r="C32" s="10" t="s">
        <v>888</v>
      </c>
      <c r="D32" s="10" t="s">
        <v>177</v>
      </c>
      <c r="E32" s="10" t="s">
        <v>179</v>
      </c>
      <c r="F32" s="10" t="s">
        <v>129</v>
      </c>
      <c r="G32" s="10" t="s">
        <v>172</v>
      </c>
      <c r="H32" s="10" t="s">
        <v>889</v>
      </c>
    </row>
    <row r="33" spans="2:8" x14ac:dyDescent="0.25">
      <c r="B33" s="25">
        <f>ROW()-32</f>
        <v>1</v>
      </c>
      <c r="C33" s="8" t="s">
        <v>954</v>
      </c>
      <c r="D33" s="8" t="s">
        <v>955</v>
      </c>
      <c r="E33" s="8" t="s">
        <v>956</v>
      </c>
      <c r="F33" s="8" t="s">
        <v>892</v>
      </c>
      <c r="G33" s="8" t="s">
        <v>902</v>
      </c>
      <c r="H33" s="8" t="s">
        <v>957</v>
      </c>
    </row>
    <row r="34" spans="2:8" x14ac:dyDescent="0.25">
      <c r="B34" s="25">
        <f>ROW()-32</f>
        <v>2</v>
      </c>
      <c r="C34" s="8" t="s">
        <v>957</v>
      </c>
      <c r="D34" s="8" t="s">
        <v>958</v>
      </c>
      <c r="E34" s="8" t="s">
        <v>36</v>
      </c>
      <c r="F34" s="8" t="s">
        <v>892</v>
      </c>
      <c r="G34" s="8" t="s">
        <v>902</v>
      </c>
      <c r="H34" s="8" t="s">
        <v>959</v>
      </c>
    </row>
    <row r="35" spans="2:8" x14ac:dyDescent="0.25">
      <c r="B35" s="25">
        <f>ROW()-32</f>
        <v>3</v>
      </c>
      <c r="C35" s="8" t="s">
        <v>428</v>
      </c>
      <c r="D35" s="8" t="s">
        <v>960</v>
      </c>
      <c r="E35" s="8" t="s">
        <v>36</v>
      </c>
      <c r="F35" s="8" t="s">
        <v>129</v>
      </c>
      <c r="G35" s="8" t="s">
        <v>961</v>
      </c>
      <c r="H35" s="8" t="s">
        <v>962</v>
      </c>
    </row>
    <row r="36" spans="2:8" x14ac:dyDescent="0.25">
      <c r="B36" s="25">
        <f>ROW()-32</f>
        <v>4</v>
      </c>
      <c r="C36" s="8" t="s">
        <v>66</v>
      </c>
      <c r="D36" s="8" t="s">
        <v>963</v>
      </c>
      <c r="E36" s="8" t="s">
        <v>36</v>
      </c>
      <c r="F36" s="8" t="s">
        <v>892</v>
      </c>
      <c r="G36" s="8" t="s">
        <v>964</v>
      </c>
      <c r="H36" s="8" t="s">
        <v>965</v>
      </c>
    </row>
    <row r="37" spans="2:8" x14ac:dyDescent="0.25">
      <c r="B37" s="25">
        <f>ROW()-32</f>
        <v>5</v>
      </c>
      <c r="C37" s="8" t="s">
        <v>966</v>
      </c>
      <c r="D37" s="8" t="s">
        <v>967</v>
      </c>
      <c r="E37" s="8" t="s">
        <v>968</v>
      </c>
      <c r="F37" s="8" t="s">
        <v>892</v>
      </c>
      <c r="G37" s="8" t="s">
        <v>902</v>
      </c>
      <c r="H37" s="8" t="s">
        <v>969</v>
      </c>
    </row>
  </sheetData>
  <mergeCells count="5">
    <mergeCell ref="B2:I2"/>
    <mergeCell ref="B4:H4"/>
    <mergeCell ref="B13:H13"/>
    <mergeCell ref="B22:H22"/>
    <mergeCell ref="B31:H3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4E71"/>
    <pageSetUpPr fitToPage="1"/>
  </sheetPr>
  <dimension ref="B1:I18"/>
  <sheetViews>
    <sheetView workbookViewId="0" showGridLines="0"/>
  </sheetViews>
  <sheetFormatPr defaultRowHeight="16" outlineLevelRow="0" outlineLevelCol="0" x14ac:dyDescent="55" customHeight="1"/>
  <cols>
    <col min="1" max="1" width="2" customWidth="1"/>
    <col min="2" max="2" width="34" customWidth="1"/>
    <col min="3" max="7" width="15" customWidth="1"/>
    <col min="8" max="8" width="22" customWidth="1"/>
  </cols>
  <sheetData>
    <row r="1" ht="32" customHeight="1" spans="2:2" x14ac:dyDescent="0.25">
      <c r="B1" s="1" t="s">
        <v>59</v>
      </c>
    </row>
    <row r="2" ht="18" customHeight="1" spans="2:9" x14ac:dyDescent="0.25">
      <c r="B2" s="2" t="s">
        <v>970</v>
      </c>
      <c r="C2" s="2"/>
      <c r="D2" s="2"/>
      <c r="E2" s="2"/>
      <c r="F2" s="2"/>
      <c r="G2" s="2"/>
      <c r="H2" s="2"/>
      <c r="I2" s="2"/>
    </row>
    <row r="4" ht="32" customHeight="1" spans="2:8" x14ac:dyDescent="0.25">
      <c r="B4" s="10" t="s">
        <v>971</v>
      </c>
      <c r="C4" s="10" t="s">
        <v>972</v>
      </c>
      <c r="D4" s="10" t="s">
        <v>973</v>
      </c>
      <c r="E4" s="10" t="s">
        <v>371</v>
      </c>
      <c r="F4" s="10" t="s">
        <v>438</v>
      </c>
      <c r="G4" s="10" t="s">
        <v>974</v>
      </c>
      <c r="H4" s="10" t="s">
        <v>844</v>
      </c>
    </row>
    <row r="5" spans="2:8" x14ac:dyDescent="0.25">
      <c r="B5" s="8" t="s">
        <v>975</v>
      </c>
      <c r="C5" s="11" t="s">
        <v>976</v>
      </c>
      <c r="D5" s="11" t="s">
        <v>977</v>
      </c>
      <c r="E5" s="11"/>
      <c r="F5" s="11"/>
      <c r="G5" s="11" t="s">
        <v>978</v>
      </c>
      <c r="H5" s="9" t="str">
        <f>IF(COUNTIF(C5:G5,"A")=1,IF(COUNTIF(C5:G5,"R")&gt;=1,"OK","Add an R"),"Needs exactly one A")</f>
        <v>OK</v>
      </c>
    </row>
    <row r="6" spans="2:8" x14ac:dyDescent="0.25">
      <c r="B6" s="8" t="s">
        <v>979</v>
      </c>
      <c r="C6" s="11" t="s">
        <v>976</v>
      </c>
      <c r="D6" s="11" t="s">
        <v>977</v>
      </c>
      <c r="E6" s="11" t="s">
        <v>980</v>
      </c>
      <c r="F6" s="11"/>
      <c r="G6" s="11" t="s">
        <v>978</v>
      </c>
      <c r="H6" s="9" t="str">
        <f>IF(COUNTIF(C6:G6,"A")=1,IF(COUNTIF(C6:G6,"R")&gt;=1,"OK","Add an R"),"Needs exactly one A")</f>
        <v>OK</v>
      </c>
    </row>
    <row r="7" spans="2:8" x14ac:dyDescent="0.25">
      <c r="B7" s="8" t="s">
        <v>437</v>
      </c>
      <c r="C7" s="11" t="s">
        <v>978</v>
      </c>
      <c r="D7" s="11" t="s">
        <v>977</v>
      </c>
      <c r="E7" s="11" t="s">
        <v>980</v>
      </c>
      <c r="F7" s="11" t="s">
        <v>976</v>
      </c>
      <c r="G7" s="11" t="s">
        <v>978</v>
      </c>
      <c r="H7" s="9" t="str">
        <f>IF(COUNTIF(C7:G7,"A")=1,IF(COUNTIF(C7:G7,"R")&gt;=1,"OK","Add an R"),"Needs exactly one A")</f>
        <v>OK</v>
      </c>
    </row>
    <row r="8" spans="2:8" x14ac:dyDescent="0.25">
      <c r="B8" s="8" t="s">
        <v>981</v>
      </c>
      <c r="C8" s="11" t="s">
        <v>978</v>
      </c>
      <c r="D8" s="11" t="s">
        <v>977</v>
      </c>
      <c r="E8" s="11"/>
      <c r="F8" s="11" t="s">
        <v>976</v>
      </c>
      <c r="G8" s="11" t="s">
        <v>980</v>
      </c>
      <c r="H8" s="9" t="str">
        <f>IF(COUNTIF(C8:G8,"A")=1,IF(COUNTIF(C8:G8,"R")&gt;=1,"OK","Add an R"),"Needs exactly one A")</f>
        <v>OK</v>
      </c>
    </row>
    <row r="9" spans="2:8" x14ac:dyDescent="0.25">
      <c r="B9" s="8" t="s">
        <v>982</v>
      </c>
      <c r="C9" s="11" t="s">
        <v>978</v>
      </c>
      <c r="D9" s="11" t="s">
        <v>977</v>
      </c>
      <c r="E9" s="11" t="s">
        <v>976</v>
      </c>
      <c r="F9" s="11" t="s">
        <v>980</v>
      </c>
      <c r="G9" s="11"/>
      <c r="H9" s="9" t="str">
        <f>IF(COUNTIF(C9:G9,"A")=1,IF(COUNTIF(C9:G9,"R")&gt;=1,"OK","Add an R"),"Needs exactly one A")</f>
        <v>OK</v>
      </c>
    </row>
    <row r="10" spans="2:8" x14ac:dyDescent="0.25">
      <c r="B10" s="8" t="s">
        <v>983</v>
      </c>
      <c r="C10" s="11" t="s">
        <v>980</v>
      </c>
      <c r="D10" s="11" t="s">
        <v>978</v>
      </c>
      <c r="E10" s="11" t="s">
        <v>976</v>
      </c>
      <c r="F10" s="11" t="s">
        <v>977</v>
      </c>
      <c r="G10" s="11"/>
      <c r="H10" s="9" t="str">
        <f>IF(COUNTIF(C10:G10,"A")=1,IF(COUNTIF(C10:G10,"R")&gt;=1,"OK","Add an R"),"Needs exactly one A")</f>
        <v>OK</v>
      </c>
    </row>
    <row r="11" spans="2:8" x14ac:dyDescent="0.25">
      <c r="B11" s="8" t="s">
        <v>984</v>
      </c>
      <c r="C11" s="11" t="s">
        <v>978</v>
      </c>
      <c r="D11" s="11" t="s">
        <v>976</v>
      </c>
      <c r="E11" s="11"/>
      <c r="F11" s="11" t="s">
        <v>980</v>
      </c>
      <c r="G11" s="11" t="s">
        <v>977</v>
      </c>
      <c r="H11" s="9" t="str">
        <f>IF(COUNTIF(C11:G11,"A")=1,IF(COUNTIF(C11:G11,"R")&gt;=1,"OK","Add an R"),"Needs exactly one A")</f>
        <v>OK</v>
      </c>
    </row>
    <row r="12" spans="2:8" x14ac:dyDescent="0.25">
      <c r="B12" s="8" t="s">
        <v>985</v>
      </c>
      <c r="C12" s="11" t="s">
        <v>980</v>
      </c>
      <c r="D12" s="11" t="s">
        <v>977</v>
      </c>
      <c r="E12" s="11" t="s">
        <v>980</v>
      </c>
      <c r="F12" s="11" t="s">
        <v>980</v>
      </c>
      <c r="G12" s="11" t="s">
        <v>976</v>
      </c>
      <c r="H12" s="9" t="str">
        <f>IF(COUNTIF(C12:G12,"A")=1,IF(COUNTIF(C12:G12,"R")&gt;=1,"OK","Add an R"),"Needs exactly one A")</f>
        <v>OK</v>
      </c>
    </row>
    <row r="13" spans="2:8" x14ac:dyDescent="0.25">
      <c r="B13" s="8" t="s">
        <v>986</v>
      </c>
      <c r="C13" s="11" t="s">
        <v>978</v>
      </c>
      <c r="D13" s="11" t="s">
        <v>977</v>
      </c>
      <c r="E13" s="11"/>
      <c r="F13" s="11" t="s">
        <v>980</v>
      </c>
      <c r="G13" s="11" t="s">
        <v>976</v>
      </c>
      <c r="H13" s="9" t="str">
        <f>IF(COUNTIF(C13:G13,"A")=1,IF(COUNTIF(C13:G13,"R")&gt;=1,"OK","Add an R"),"Needs exactly one A")</f>
        <v>OK</v>
      </c>
    </row>
    <row r="14" spans="2:8" x14ac:dyDescent="0.25">
      <c r="B14" s="8" t="s">
        <v>987</v>
      </c>
      <c r="C14" s="11" t="s">
        <v>976</v>
      </c>
      <c r="D14" s="11" t="s">
        <v>977</v>
      </c>
      <c r="E14" s="11" t="s">
        <v>980</v>
      </c>
      <c r="F14" s="11"/>
      <c r="G14" s="11"/>
      <c r="H14" s="9" t="str">
        <f>IF(COUNTIF(C14:G14,"A")=1,IF(COUNTIF(C14:G14,"R")&gt;=1,"OK","Add an R"),"Needs exactly one A")</f>
        <v>OK</v>
      </c>
    </row>
    <row r="15" spans="2:8" x14ac:dyDescent="0.25">
      <c r="B15" s="8" t="s">
        <v>988</v>
      </c>
      <c r="C15" s="11" t="s">
        <v>976</v>
      </c>
      <c r="D15" s="11" t="s">
        <v>977</v>
      </c>
      <c r="E15" s="11" t="s">
        <v>980</v>
      </c>
      <c r="F15" s="11" t="s">
        <v>978</v>
      </c>
      <c r="G15" s="11" t="s">
        <v>978</v>
      </c>
      <c r="H15" s="9" t="str">
        <f>IF(COUNTIF(C15:G15,"A")=1,IF(COUNTIF(C15:G15,"R")&gt;=1,"OK","Add an R"),"Needs exactly one A")</f>
        <v>OK</v>
      </c>
    </row>
    <row r="16" spans="2:8" x14ac:dyDescent="0.25">
      <c r="B16" s="8" t="s">
        <v>989</v>
      </c>
      <c r="C16" s="11" t="s">
        <v>978</v>
      </c>
      <c r="D16" s="11" t="s">
        <v>977</v>
      </c>
      <c r="E16" s="11" t="s">
        <v>976</v>
      </c>
      <c r="F16" s="11"/>
      <c r="G16" s="11" t="s">
        <v>980</v>
      </c>
      <c r="H16" s="9" t="str">
        <f>IF(COUNTIF(C16:G16,"A")=1,IF(COUNTIF(C16:G16,"R")&gt;=1,"OK","Add an R"),"Needs exactly one A")</f>
        <v>OK</v>
      </c>
    </row>
    <row r="18" spans="2:8" x14ac:dyDescent="0.25">
      <c r="B18" s="7" t="s">
        <v>990</v>
      </c>
      <c r="C18" s="7"/>
      <c r="D18" s="7"/>
      <c r="E18" s="7"/>
      <c r="F18" s="7"/>
      <c r="G18" s="7"/>
      <c r="H18" s="7"/>
    </row>
  </sheetData>
  <mergeCells count="2">
    <mergeCell ref="B2:I2"/>
    <mergeCell ref="B18:H18"/>
  </mergeCells>
  <conditionalFormatting sqref="C5:G16">
    <cfRule type="expression" dxfId="17" priority="1">
      <formula>C5="A"</formula>
    </cfRule>
  </conditionalFormatting>
  <conditionalFormatting sqref="C5:G16">
    <cfRule type="expression" dxfId="18" priority="2">
      <formula>C5="R"</formula>
    </cfRule>
  </conditionalFormatting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837E"/>
    <pageSetUpPr fitToPage="1"/>
  </sheetPr>
  <dimension ref="A1:K11"/>
  <sheetViews>
    <sheetView workbookViewId="0" showGridLines="0"/>
  </sheetViews>
  <sheetFormatPr defaultRowHeight="16" outlineLevelRow="0" outlineLevelCol="0" x14ac:dyDescent="55" customHeight="1"/>
  <cols>
    <col min="1" max="11" width="20" customWidth="1"/>
  </cols>
  <sheetData>
    <row r="1" spans="1:11" x14ac:dyDescent="0.25">
      <c r="A1" s="10" t="s">
        <v>416</v>
      </c>
      <c r="B1" s="10" t="s">
        <v>991</v>
      </c>
      <c r="C1" s="10" t="s">
        <v>992</v>
      </c>
      <c r="D1" s="10" t="s">
        <v>993</v>
      </c>
      <c r="E1" s="10" t="s">
        <v>994</v>
      </c>
      <c r="F1" s="10" t="s">
        <v>995</v>
      </c>
      <c r="G1" s="10" t="s">
        <v>996</v>
      </c>
      <c r="H1" s="10" t="s">
        <v>997</v>
      </c>
      <c r="I1" s="10" t="s">
        <v>998</v>
      </c>
      <c r="J1" s="10" t="s">
        <v>648</v>
      </c>
      <c r="K1" s="10" t="s">
        <v>999</v>
      </c>
    </row>
    <row r="2" spans="1:11" x14ac:dyDescent="0.25">
      <c r="A2" s="8" t="s">
        <v>427</v>
      </c>
      <c r="B2" s="8" t="s">
        <v>456</v>
      </c>
      <c r="C2" s="8" t="s">
        <v>136</v>
      </c>
      <c r="D2" s="8" t="s">
        <v>566</v>
      </c>
      <c r="E2" s="8" t="s">
        <v>600</v>
      </c>
      <c r="F2" s="27">
        <v>0.1</v>
      </c>
      <c r="G2" s="8" t="s">
        <v>720</v>
      </c>
      <c r="H2" s="8" t="s">
        <v>806</v>
      </c>
      <c r="I2" s="8" t="s">
        <v>139</v>
      </c>
      <c r="J2" s="8" t="s">
        <v>392</v>
      </c>
      <c r="K2" s="8" t="s">
        <v>804</v>
      </c>
    </row>
    <row r="3" spans="1:11" x14ac:dyDescent="0.25">
      <c r="A3" s="8" t="s">
        <v>447</v>
      </c>
      <c r="B3" s="8" t="s">
        <v>428</v>
      </c>
      <c r="C3" s="8" t="s">
        <v>428</v>
      </c>
      <c r="D3" s="8" t="s">
        <v>580</v>
      </c>
      <c r="E3" s="8" t="s">
        <v>594</v>
      </c>
      <c r="F3" s="27">
        <v>0.2</v>
      </c>
      <c r="G3" s="8" t="s">
        <v>731</v>
      </c>
      <c r="H3" s="8" t="s">
        <v>814</v>
      </c>
      <c r="I3" s="8" t="s">
        <v>149</v>
      </c>
      <c r="J3" s="8" t="s">
        <v>654</v>
      </c>
      <c r="K3" s="8" t="s">
        <v>831</v>
      </c>
    </row>
    <row r="4" spans="1:11" x14ac:dyDescent="0.25">
      <c r="A4" s="8" t="s">
        <v>466</v>
      </c>
      <c r="B4" s="8" t="s">
        <v>442</v>
      </c>
      <c r="C4" s="8" t="s">
        <v>659</v>
      </c>
      <c r="D4" s="8" t="s">
        <v>573</v>
      </c>
      <c r="E4" s="8" t="s">
        <v>582</v>
      </c>
      <c r="F4" s="27">
        <v>0.4</v>
      </c>
      <c r="H4" s="8" t="s">
        <v>800</v>
      </c>
      <c r="I4" s="8" t="s">
        <v>154</v>
      </c>
      <c r="J4" s="8" t="s">
        <v>669</v>
      </c>
      <c r="K4" s="8" t="s">
        <v>823</v>
      </c>
    </row>
    <row r="5" spans="2:11" x14ac:dyDescent="0.25">
      <c r="B5" s="8" t="s">
        <v>433</v>
      </c>
      <c r="D5" s="8" t="s">
        <v>587</v>
      </c>
      <c r="E5" s="8" t="s">
        <v>575</v>
      </c>
      <c r="F5" s="27">
        <v>0.6</v>
      </c>
      <c r="H5" s="8" t="s">
        <v>647</v>
      </c>
      <c r="I5" s="8" t="s">
        <v>159</v>
      </c>
      <c r="J5" s="8" t="s">
        <v>692</v>
      </c>
      <c r="K5" s="8" t="s">
        <v>1000</v>
      </c>
    </row>
    <row r="6" spans="4:8" x14ac:dyDescent="0.25">
      <c r="D6" s="8" t="s">
        <v>605</v>
      </c>
      <c r="E6" s="8" t="s">
        <v>589</v>
      </c>
      <c r="F6" s="27">
        <v>0.8</v>
      </c>
      <c r="H6" s="8" t="s">
        <v>819</v>
      </c>
    </row>
    <row r="7" spans="5:8" x14ac:dyDescent="0.25">
      <c r="E7" s="8" t="s">
        <v>568</v>
      </c>
      <c r="F7" s="27">
        <v>1</v>
      </c>
      <c r="H7" s="8" t="s">
        <v>825</v>
      </c>
    </row>
    <row r="8" spans="5:6" x14ac:dyDescent="0.25">
      <c r="E8" s="8" t="s">
        <v>617</v>
      </c>
      <c r="F8" s="27">
        <v>0</v>
      </c>
    </row>
    <row r="11" ht="30" customHeight="1" spans="1:6" x14ac:dyDescent="0.25">
      <c r="A11" s="7" t="s">
        <v>1001</v>
      </c>
      <c r="B11" s="7"/>
      <c r="C11" s="7"/>
      <c r="D11" s="7"/>
      <c r="E11" s="7"/>
      <c r="F11" s="7"/>
    </row>
  </sheetData>
  <mergeCells count="1"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&amp;L&amp;8Alliah (Ali) Puchero · EA Operations Toolkit&amp;R&amp;8&amp;A ·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Start Here</vt:lpstr>
      <vt:lpstr>Dashboard</vt:lpstr>
      <vt:lpstr>Weekly Report</vt:lpstr>
      <vt:lpstr>SOP Library</vt:lpstr>
      <vt:lpstr>SOP-01 Inbox</vt:lpstr>
      <vt:lpstr>SOP-02 Meetings</vt:lpstr>
      <vt:lpstr>SOP-03 Onboarding</vt:lpstr>
      <vt:lpstr>SOP-04 AR Follow-up</vt:lpstr>
      <vt:lpstr>SOP-05 Webinars &amp; CPD</vt:lpstr>
      <vt:lpstr>Task Tracker</vt:lpstr>
      <vt:lpstr>AR Tracker</vt:lpstr>
      <vt:lpstr>CRM Pipeline</vt:lpstr>
      <vt:lpstr>Meeting Actions</vt:lpstr>
      <vt:lpstr>Event &amp; CPD Tracker</vt:lpstr>
      <vt:lpstr>Onboarding Tracker</vt:lpstr>
      <vt:lpstr>Travel Planner</vt:lpstr>
      <vt:lpstr>Research Brief</vt:lpstr>
      <vt:lpstr>Tool Evaluation</vt:lpstr>
      <vt:lpstr>Workflow Maps</vt:lpstr>
      <vt:lpstr>RACI Matrix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Alliah (Ali) Puchero</dc:creator>
  <dc:title>EA Operations Toolkit</dc:title>
  <dc:subject/>
  <dc:description/>
  <cp:keywords/>
  <cp:category/>
  <cp:lastModifiedBy>Alliah (Ali) Puchero</cp:lastModifiedBy>
  <dcterms:created xsi:type="dcterms:W3CDTF">2026-10-30T00:00:00Z</dcterms:created>
  <dcterms:modified xsi:type="dcterms:W3CDTF">2026-10-30T00:00:00Z</dcterms:modified>
</cp:coreProperties>
</file>